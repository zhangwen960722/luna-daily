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美森360" sheetId="2" r:id="rId1"/>
    <sheet name="美森432" sheetId="3" r:id="rId2"/>
    <sheet name="EX456" sheetId="4" r:id="rId3"/>
    <sheet name="洛杉矶600" sheetId="5" r:id="rId4"/>
    <sheet name="奥克兰744" sheetId="6" r:id="rId5"/>
    <sheet name="西雅图788" sheetId="7" r:id="rId6"/>
    <sheet name="芝加哥840" sheetId="8" r:id="rId7"/>
    <sheet name="休斯顿866" sheetId="9" r:id="rId8"/>
    <sheet name="萨凡纳888" sheetId="10" r:id="rId9"/>
    <sheet name="纽约960" sheetId="11" r:id="rId10"/>
    <sheet name="快查表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13" authorId="0">
      <text>
        <r>
          <rPr>
            <b/>
            <sz val="15.75"/>
            <color rgb="FF000000"/>
            <rFont val="Calibri"/>
            <charset val="134"/>
          </rPr>
          <t>BCI</t>
        </r>
      </text>
    </comment>
    <comment ref="D13" authorId="0">
      <text>
        <r>
          <rPr>
            <b/>
            <sz val="19.5"/>
            <color rgb="FF000000"/>
            <rFont val="Calibri"/>
            <charset val="134"/>
          </rPr>
          <t>BCI</t>
        </r>
      </text>
    </comment>
  </commentList>
</comments>
</file>

<file path=xl/sharedStrings.xml><?xml version="1.0" encoding="utf-8"?>
<sst xmlns="http://schemas.openxmlformats.org/spreadsheetml/2006/main" count="1671" uniqueCount="408">
  <si>
    <t>应付</t>
  </si>
  <si>
    <t>上海——LB</t>
  </si>
  <si>
    <t>费用类型</t>
  </si>
  <si>
    <t>币种</t>
  </si>
  <si>
    <t>单价</t>
  </si>
  <si>
    <t>数量</t>
  </si>
  <si>
    <t>备注</t>
  </si>
  <si>
    <t>统计</t>
  </si>
  <si>
    <t>拆送分段成本（KG）</t>
  </si>
  <si>
    <t>组合分段成本（KG）</t>
  </si>
  <si>
    <t>整柜直送分段成本</t>
  </si>
  <si>
    <t>拆送分段成本（CBM）</t>
  </si>
  <si>
    <t>组合分段成本（CBM）</t>
  </si>
  <si>
    <t>整柜直送分段成本（CBM）</t>
  </si>
  <si>
    <t>起运港</t>
  </si>
  <si>
    <t>拖车+报关</t>
  </si>
  <si>
    <t>装柜费</t>
  </si>
  <si>
    <t>RMB</t>
  </si>
  <si>
    <t>拖车费</t>
  </si>
  <si>
    <t>报关费</t>
  </si>
  <si>
    <t>港杂费RMB部分</t>
  </si>
  <si>
    <t>海运费（变动）</t>
  </si>
  <si>
    <t>USD</t>
  </si>
  <si>
    <t>目的港</t>
  </si>
  <si>
    <t>提柜+拆柜</t>
  </si>
  <si>
    <t>提拆一口价</t>
  </si>
  <si>
    <t>清关+缴税</t>
  </si>
  <si>
    <t>清关费</t>
  </si>
  <si>
    <t>税金</t>
  </si>
  <si>
    <t>每板KG</t>
  </si>
  <si>
    <t>上海-LB</t>
  </si>
  <si>
    <t>人民币应付</t>
  </si>
  <si>
    <t>汇率</t>
  </si>
  <si>
    <t>报价：2025/03/16</t>
  </si>
  <si>
    <t>含税KG/CBM</t>
  </si>
  <si>
    <t>合计</t>
  </si>
  <si>
    <t>CBM</t>
  </si>
  <si>
    <t>CBM标准</t>
  </si>
  <si>
    <t>CBM计费标准</t>
  </si>
  <si>
    <t>KG标准</t>
  </si>
  <si>
    <t>KG计费标准</t>
  </si>
  <si>
    <t>派送费</t>
  </si>
  <si>
    <t>美金/板</t>
  </si>
  <si>
    <t>组合一口价</t>
  </si>
  <si>
    <t>整柜一口价</t>
  </si>
  <si>
    <t>拆送KG含税</t>
  </si>
  <si>
    <t>组合KG</t>
  </si>
  <si>
    <t>直送KG</t>
  </si>
  <si>
    <t>拆送CBM含税</t>
  </si>
  <si>
    <t>组合CBM</t>
  </si>
  <si>
    <t>直送CBM</t>
  </si>
  <si>
    <t>直客报价101KG+</t>
  </si>
  <si>
    <t>拆送末端（KG）</t>
  </si>
  <si>
    <t>拆送头程（KG）</t>
  </si>
  <si>
    <t>组合末端（KG）</t>
  </si>
  <si>
    <t>组合头程（KG）</t>
  </si>
  <si>
    <t>整柜直送末端（KG）</t>
  </si>
  <si>
    <t>整柜直送头程（KG）</t>
  </si>
  <si>
    <t>拆送末端（m³）</t>
  </si>
  <si>
    <t>拆送头程（m³）</t>
  </si>
  <si>
    <t>组合末端（m³）</t>
  </si>
  <si>
    <t>组合头程（m³）</t>
  </si>
  <si>
    <t>整柜直送末端（m³）</t>
  </si>
  <si>
    <t>整柜直送头程（m³）</t>
  </si>
  <si>
    <t>美西
一区</t>
  </si>
  <si>
    <t>ONT8</t>
  </si>
  <si>
    <t>LGB8</t>
  </si>
  <si>
    <t>SBD1</t>
  </si>
  <si>
    <t>LAX9</t>
  </si>
  <si>
    <t>美西
二区</t>
  </si>
  <si>
    <t>SMF3</t>
  </si>
  <si>
    <t>SCK4</t>
  </si>
  <si>
    <t>GYR2</t>
  </si>
  <si>
    <t>GYR3</t>
  </si>
  <si>
    <t>LAS1</t>
  </si>
  <si>
    <t>VGT2</t>
  </si>
  <si>
    <t>美西
三区</t>
  </si>
  <si>
    <t>POC1</t>
  </si>
  <si>
    <t>POC2</t>
  </si>
  <si>
    <t>POC3</t>
  </si>
  <si>
    <t>SNA4</t>
  </si>
  <si>
    <t>KRB1</t>
  </si>
  <si>
    <t>KRB4</t>
  </si>
  <si>
    <t>IUSJ</t>
  </si>
  <si>
    <t>IUSP</t>
  </si>
  <si>
    <t>IUSQ</t>
  </si>
  <si>
    <t>美西
四区</t>
  </si>
  <si>
    <t>GEU3</t>
  </si>
  <si>
    <t>GEU2</t>
  </si>
  <si>
    <t>MIT2</t>
  </si>
  <si>
    <t>OAK3</t>
  </si>
  <si>
    <t>LAS6</t>
  </si>
  <si>
    <t>SMF6</t>
  </si>
  <si>
    <t>SCK8</t>
  </si>
  <si>
    <t>GEU5</t>
  </si>
  <si>
    <t>HLI2</t>
  </si>
  <si>
    <t>TCY2/TCY1</t>
  </si>
  <si>
    <t>美中
一区</t>
  </si>
  <si>
    <t>DFW6</t>
  </si>
  <si>
    <t>AMA1</t>
  </si>
  <si>
    <t>IAH3</t>
  </si>
  <si>
    <t>ABQ2</t>
  </si>
  <si>
    <t>美中二区</t>
  </si>
  <si>
    <t>PSC2</t>
  </si>
  <si>
    <t>FTW1</t>
  </si>
  <si>
    <t>IND9</t>
  </si>
  <si>
    <t>MDW2</t>
  </si>
  <si>
    <t>MEM1</t>
  </si>
  <si>
    <t>MQJ1</t>
  </si>
  <si>
    <t>美中
长途</t>
  </si>
  <si>
    <t>FTW3</t>
  </si>
  <si>
    <t>SAT4</t>
  </si>
  <si>
    <t>SAT6</t>
  </si>
  <si>
    <t>HOU8</t>
  </si>
  <si>
    <t>SLC2</t>
  </si>
  <si>
    <t>DEN2</t>
  </si>
  <si>
    <t>DEN8</t>
  </si>
  <si>
    <t>RNO4</t>
  </si>
  <si>
    <t>ORD2</t>
  </si>
  <si>
    <t>FWA4</t>
  </si>
  <si>
    <t>RFD2</t>
  </si>
  <si>
    <t>STL3</t>
  </si>
  <si>
    <t>STL4</t>
  </si>
  <si>
    <t>IND2</t>
  </si>
  <si>
    <t>IND4</t>
  </si>
  <si>
    <t>MEM6</t>
  </si>
  <si>
    <t>BNA6</t>
  </si>
  <si>
    <t>OKC2</t>
  </si>
  <si>
    <t>LIT2</t>
  </si>
  <si>
    <t>JVL1</t>
  </si>
  <si>
    <t>美东9区</t>
  </si>
  <si>
    <t>CLT2</t>
  </si>
  <si>
    <t>MCO2</t>
  </si>
  <si>
    <t>TPA2</t>
  </si>
  <si>
    <t>TPA3</t>
  </si>
  <si>
    <t>CMH2</t>
  </si>
  <si>
    <t>CMH3</t>
  </si>
  <si>
    <t>DET1</t>
  </si>
  <si>
    <t>DET2</t>
  </si>
  <si>
    <t>AKR1</t>
  </si>
  <si>
    <t>LAN2</t>
  </si>
  <si>
    <t>RYY2</t>
  </si>
  <si>
    <t>JAX3</t>
  </si>
  <si>
    <t>PBI3</t>
  </si>
  <si>
    <t>RDU2</t>
  </si>
  <si>
    <t>美东10区</t>
  </si>
  <si>
    <t>ORF2</t>
  </si>
  <si>
    <t>CHO1</t>
  </si>
  <si>
    <t>RMN3</t>
  </si>
  <si>
    <t>DCA6</t>
  </si>
  <si>
    <t>TEB3</t>
  </si>
  <si>
    <t>TEB4</t>
  </si>
  <si>
    <t>TEB6</t>
  </si>
  <si>
    <t>TEB9</t>
  </si>
  <si>
    <t>ACY2</t>
  </si>
  <si>
    <t>ABE4</t>
  </si>
  <si>
    <t>ABE8</t>
  </si>
  <si>
    <t>AVP1</t>
  </si>
  <si>
    <t>AVP3</t>
  </si>
  <si>
    <t>PIT2</t>
  </si>
  <si>
    <t>PHL5</t>
  </si>
  <si>
    <t>PHL6</t>
  </si>
  <si>
    <t>MDT1</t>
  </si>
  <si>
    <t>MDT2</t>
  </si>
  <si>
    <t>MDT4</t>
  </si>
  <si>
    <t>SWF1</t>
  </si>
  <si>
    <t>SWF2</t>
  </si>
  <si>
    <t>HGR6</t>
  </si>
  <si>
    <t>WBW2</t>
  </si>
  <si>
    <t>散货</t>
  </si>
  <si>
    <t>XLX7</t>
  </si>
  <si>
    <t>PSP3</t>
  </si>
  <si>
    <t>JOT1</t>
  </si>
  <si>
    <t>HIL2</t>
  </si>
  <si>
    <t>FTW5</t>
  </si>
  <si>
    <t>SAT1</t>
  </si>
  <si>
    <t>PPO4</t>
  </si>
  <si>
    <t>MEM8</t>
  </si>
  <si>
    <t>MDW4</t>
  </si>
  <si>
    <t>ATL8</t>
  </si>
  <si>
    <t>PBI2</t>
  </si>
  <si>
    <t>TMB8</t>
  </si>
  <si>
    <t>HIA1</t>
  </si>
  <si>
    <t>IUSK</t>
  </si>
  <si>
    <t>ITUS</t>
  </si>
  <si>
    <t>IUSL</t>
  </si>
  <si>
    <t>IUSM</t>
  </si>
  <si>
    <t>IUSE</t>
  </si>
  <si>
    <t>FAT2</t>
  </si>
  <si>
    <t>SBD2</t>
  </si>
  <si>
    <t>MCE1</t>
  </si>
  <si>
    <t>PHX5</t>
  </si>
  <si>
    <t>AZA4</t>
  </si>
  <si>
    <t>BFL2</t>
  </si>
  <si>
    <t>SCK1</t>
  </si>
  <si>
    <t>DFW7</t>
  </si>
  <si>
    <t>HOU3</t>
  </si>
  <si>
    <t>IGQ2</t>
  </si>
  <si>
    <t>PDX6</t>
  </si>
  <si>
    <t>DEN7</t>
  </si>
  <si>
    <t>FTW9</t>
  </si>
  <si>
    <t>FOE1</t>
  </si>
  <si>
    <t>BFI3</t>
  </si>
  <si>
    <t>BFI9</t>
  </si>
  <si>
    <t>MKC4</t>
  </si>
  <si>
    <t>BNA2</t>
  </si>
  <si>
    <t>GEG2</t>
  </si>
  <si>
    <t>CHA2</t>
  </si>
  <si>
    <t>STL6</t>
  </si>
  <si>
    <t>MCI3</t>
  </si>
  <si>
    <t>ICT2</t>
  </si>
  <si>
    <t>HSV1</t>
  </si>
  <si>
    <t>CLT3</t>
  </si>
  <si>
    <t>GSP1</t>
  </si>
  <si>
    <t>MGE1</t>
  </si>
  <si>
    <t>SAV3</t>
  </si>
  <si>
    <t>GSO1</t>
  </si>
  <si>
    <t>MQJ2</t>
  </si>
  <si>
    <t>LFT1</t>
  </si>
  <si>
    <t>XLX1</t>
  </si>
  <si>
    <t>AVP2</t>
  </si>
  <si>
    <t>LBE1</t>
  </si>
  <si>
    <t>DTW3</t>
  </si>
  <si>
    <t>HGR2</t>
  </si>
  <si>
    <t>KRB2</t>
  </si>
  <si>
    <t>BWI4</t>
  </si>
  <si>
    <t>RIC1</t>
  </si>
  <si>
    <t>XLX6</t>
  </si>
  <si>
    <t>ILG1</t>
  </si>
  <si>
    <t>ALB1</t>
  </si>
  <si>
    <t>BOS7</t>
  </si>
  <si>
    <t>TPA6</t>
  </si>
  <si>
    <t>IND5</t>
  </si>
  <si>
    <t>MDW6</t>
  </si>
  <si>
    <t>MDW8</t>
  </si>
  <si>
    <t>MDW9</t>
  </si>
  <si>
    <t>RFD4</t>
  </si>
  <si>
    <t>ONT9</t>
  </si>
  <si>
    <t>LGB4</t>
  </si>
  <si>
    <t>LGB6</t>
  </si>
  <si>
    <t>PHX7</t>
  </si>
  <si>
    <t>SCK3</t>
  </si>
  <si>
    <t>SMF7</t>
  </si>
  <si>
    <t>SLC3</t>
  </si>
  <si>
    <t>HOU7</t>
  </si>
  <si>
    <t>PDX7</t>
  </si>
  <si>
    <t>SJC7</t>
  </si>
  <si>
    <t>QXY5</t>
  </si>
  <si>
    <t>MGE3</t>
  </si>
  <si>
    <t>RYY4</t>
  </si>
  <si>
    <t>SDF8</t>
  </si>
  <si>
    <t>ABE3</t>
  </si>
  <si>
    <t>RIC3</t>
  </si>
  <si>
    <t>KRB5</t>
  </si>
  <si>
    <t>HSV2</t>
  </si>
  <si>
    <t>OLM1</t>
  </si>
  <si>
    <t>BFI7</t>
  </si>
  <si>
    <t>TCY2</t>
  </si>
  <si>
    <t>盐田——LA</t>
  </si>
  <si>
    <t>实报实销</t>
  </si>
  <si>
    <t>100/票</t>
  </si>
  <si>
    <t>盐田-LA</t>
  </si>
  <si>
    <t>含税/CBM</t>
  </si>
  <si>
    <t>QXY8</t>
  </si>
  <si>
    <t>PPO$</t>
  </si>
  <si>
    <t>IUSF</t>
  </si>
  <si>
    <t>IUSR</t>
  </si>
  <si>
    <t>盐田——LB</t>
  </si>
  <si>
    <t>盐田-LB/LA</t>
  </si>
  <si>
    <t>美西
组合一</t>
  </si>
  <si>
    <t>美西
组合二</t>
  </si>
  <si>
    <t>TCY1</t>
  </si>
  <si>
    <t>美西
组合三</t>
  </si>
  <si>
    <t>五区
美东</t>
  </si>
  <si>
    <t>ABE2</t>
  </si>
  <si>
    <t>AVP9</t>
  </si>
  <si>
    <t>ONT6</t>
  </si>
  <si>
    <t>LAX2T/LAX1</t>
  </si>
  <si>
    <t>LGB9</t>
  </si>
  <si>
    <t>ONT2</t>
  </si>
  <si>
    <t>XLG1</t>
  </si>
  <si>
    <t>QXY9</t>
  </si>
  <si>
    <t>SMF1</t>
  </si>
  <si>
    <t>PHX3</t>
  </si>
  <si>
    <t>LAS7</t>
  </si>
  <si>
    <t>FTW2</t>
  </si>
  <si>
    <t>IUTE</t>
  </si>
  <si>
    <t>IUTH</t>
  </si>
  <si>
    <t>SDF4</t>
  </si>
  <si>
    <t>BNA2/PPO4</t>
  </si>
  <si>
    <t>MEM2</t>
  </si>
  <si>
    <t>RDU4</t>
  </si>
  <si>
    <t>CLT6</t>
  </si>
  <si>
    <t>盐田——OAK</t>
  </si>
  <si>
    <t>盐田—OAK</t>
  </si>
  <si>
    <t>奥克兰</t>
  </si>
  <si>
    <t>MCC1</t>
  </si>
  <si>
    <t>盐田——西雅图</t>
  </si>
  <si>
    <t>盐田—西雅图</t>
  </si>
  <si>
    <t>西雅图拆送</t>
  </si>
  <si>
    <t>盐田——CHI</t>
  </si>
  <si>
    <t>广州+东莞</t>
  </si>
  <si>
    <t>OA舱位</t>
  </si>
  <si>
    <t>芝 加 哥
一区</t>
  </si>
  <si>
    <t>沃尔玛--ORD1S</t>
  </si>
  <si>
    <t>芝 加 哥
二区</t>
  </si>
  <si>
    <t>沃尔玛--IND2</t>
  </si>
  <si>
    <t>沃尔玛--IND3</t>
  </si>
  <si>
    <t>沃尔玛--IND2N</t>
  </si>
  <si>
    <t>芝 加 哥
三区</t>
  </si>
  <si>
    <t>CMH7</t>
  </si>
  <si>
    <t>芝 加 哥
四区</t>
  </si>
  <si>
    <t>沃尔玛--KS1</t>
  </si>
  <si>
    <t>沃尔玛--MCI1N</t>
  </si>
  <si>
    <t>MDW7</t>
  </si>
  <si>
    <t>KRB6</t>
  </si>
  <si>
    <t>MKE1</t>
  </si>
  <si>
    <t>MKE2</t>
  </si>
  <si>
    <t>CMH1</t>
  </si>
  <si>
    <t>CMH4</t>
  </si>
  <si>
    <t>CMH6</t>
  </si>
  <si>
    <t>CVG1</t>
  </si>
  <si>
    <t>CVG2</t>
  </si>
  <si>
    <t>CVG3</t>
  </si>
  <si>
    <t>CLE2</t>
  </si>
  <si>
    <t>CLE3</t>
  </si>
  <si>
    <t>PCW1</t>
  </si>
  <si>
    <t>LEX1</t>
  </si>
  <si>
    <t>AKC1</t>
  </si>
  <si>
    <t>GRR1</t>
  </si>
  <si>
    <t>STL8</t>
  </si>
  <si>
    <t>IND1</t>
  </si>
  <si>
    <t>IND3</t>
  </si>
  <si>
    <t>SDF9</t>
  </si>
  <si>
    <t>MCI1</t>
  </si>
  <si>
    <t>MKC6</t>
  </si>
  <si>
    <t>FAR1</t>
  </si>
  <si>
    <t>盐田——HOU</t>
  </si>
  <si>
    <t>休斯顿
一区</t>
  </si>
  <si>
    <t>HOU2</t>
  </si>
  <si>
    <t>HOU1</t>
  </si>
  <si>
    <t>休斯顿
二区</t>
  </si>
  <si>
    <t>DAL3</t>
  </si>
  <si>
    <t>休斯顿
三区</t>
  </si>
  <si>
    <t>盐田——SAV</t>
  </si>
  <si>
    <t>萨凡纳
一区</t>
  </si>
  <si>
    <t>CAE1</t>
  </si>
  <si>
    <t>XAV3</t>
  </si>
  <si>
    <t>WAL-ATL1</t>
  </si>
  <si>
    <t>WAL-ATL3</t>
  </si>
  <si>
    <t>萨凡纳
二区</t>
  </si>
  <si>
    <t>MCO1</t>
  </si>
  <si>
    <t>XPB2</t>
  </si>
  <si>
    <t>萨凡纳
三区</t>
  </si>
  <si>
    <t>WAL-ATL2</t>
  </si>
  <si>
    <t>WAL-ATL8</t>
  </si>
  <si>
    <t>WAL-MCO1</t>
  </si>
  <si>
    <t>WAL-MEM1s</t>
  </si>
  <si>
    <t>盐田——NY</t>
  </si>
  <si>
    <t>组合1</t>
  </si>
  <si>
    <t>TTN2</t>
  </si>
  <si>
    <t>XEW5</t>
  </si>
  <si>
    <t>组合2</t>
  </si>
  <si>
    <t>组合3</t>
  </si>
  <si>
    <t>PHL4</t>
  </si>
  <si>
    <t>组合4</t>
  </si>
  <si>
    <t>BWI1</t>
  </si>
  <si>
    <t>组合5</t>
  </si>
  <si>
    <t>组合6</t>
  </si>
  <si>
    <t>BDL6</t>
  </si>
  <si>
    <t>组合7</t>
  </si>
  <si>
    <t>XRI3</t>
  </si>
  <si>
    <t>组合8</t>
  </si>
  <si>
    <t>组合9</t>
  </si>
  <si>
    <t>BNA3</t>
  </si>
  <si>
    <t>组合10</t>
  </si>
  <si>
    <t>组合11</t>
  </si>
  <si>
    <t>MSP6</t>
  </si>
  <si>
    <t>组合12</t>
  </si>
  <si>
    <t>组合13</t>
  </si>
  <si>
    <t>组合14</t>
  </si>
  <si>
    <t>BDL3</t>
  </si>
  <si>
    <t>SDF2</t>
  </si>
  <si>
    <t>IQG2</t>
  </si>
  <si>
    <t>RIC2</t>
  </si>
  <si>
    <t>EWR4</t>
  </si>
  <si>
    <t>EWR9</t>
  </si>
  <si>
    <t>PHL7</t>
  </si>
  <si>
    <t>JFK8</t>
  </si>
  <si>
    <t>BWI2</t>
  </si>
  <si>
    <t>PIT1</t>
  </si>
  <si>
    <t>RDG1</t>
  </si>
  <si>
    <t>IUST</t>
  </si>
  <si>
    <t>仓点</t>
  </si>
  <si>
    <t>货型</t>
  </si>
  <si>
    <t>渠道</t>
  </si>
  <si>
    <t>组合CBM含税</t>
  </si>
  <si>
    <t>直送含税</t>
  </si>
  <si>
    <t>美森360</t>
  </si>
  <si>
    <t>美森432</t>
  </si>
  <si>
    <t>EX456</t>
  </si>
  <si>
    <t>洛杉矶600</t>
  </si>
  <si>
    <t>奥克兰744</t>
  </si>
  <si>
    <t>西雅图788</t>
  </si>
  <si>
    <t>芝加哥840</t>
  </si>
  <si>
    <t>休斯顿866</t>
  </si>
  <si>
    <t>萨凡纳888</t>
  </si>
  <si>
    <t>纽约960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</si>
</sst>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  <numFmt numFmtId="178" formatCode="\$#,##0.0;\-\$#,##0.0"/>
    <numFmt numFmtId="179" formatCode="\$#,##0.00;\-\$#,##0.00"/>
    <numFmt numFmtId="180" formatCode="&quot;￥&quot;#,##0.0;&quot;￥&quot;\-#,##0.0"/>
    <numFmt numFmtId="181" formatCode="0_ "/>
    <numFmt numFmtId="182" formatCode="\$#,##0;[Red]\$#,##0"/>
    <numFmt numFmtId="183" formatCode="\$#,##0;\-\$#,##0"/>
    <numFmt numFmtId="184" formatCode="&quot;￥&quot;#,##0.00;[Red]&quot;￥&quot;#,##0.00"/>
    <numFmt numFmtId="185" formatCode="\¥#,##0.00_);[Red]\(\¥#,##0.00\)"/>
    <numFmt numFmtId="186" formatCode="0.00_);[Red]\(0.00\)"/>
    <numFmt numFmtId="187" formatCode="0.00_);\(0.00\)"/>
  </numFmts>
  <fonts count="37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.75"/>
      <color rgb="FF000000"/>
      <name val="Calibri"/>
      <charset val="134"/>
    </font>
    <font>
      <b/>
      <sz val="19.5"/>
      <color rgb="FF00000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91ABDF"/>
        <bgColor indexed="64"/>
      </patternFill>
    </fill>
    <fill>
      <patternFill patternType="solid">
        <fgColor rgb="FFC7E4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DAB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1" borderId="2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28" applyNumberFormat="0" applyAlignment="0" applyProtection="0">
      <alignment vertical="center"/>
    </xf>
    <xf numFmtId="0" fontId="25" fillId="13" borderId="29" applyNumberFormat="0" applyAlignment="0" applyProtection="0">
      <alignment vertical="center"/>
    </xf>
    <xf numFmtId="0" fontId="26" fillId="13" borderId="28" applyNumberFormat="0" applyAlignment="0" applyProtection="0">
      <alignment vertical="center"/>
    </xf>
    <xf numFmtId="0" fontId="27" fillId="14" borderId="30" applyNumberFormat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14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77" fontId="3" fillId="3" borderId="6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176" fontId="3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177" fontId="3" fillId="4" borderId="6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7" fontId="3" fillId="4" borderId="6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7" fontId="2" fillId="4" borderId="6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178" fontId="9" fillId="5" borderId="6" xfId="0" applyNumberFormat="1" applyFont="1" applyFill="1" applyBorder="1" applyAlignment="1">
      <alignment horizontal="center" vertical="center"/>
    </xf>
    <xf numFmtId="179" fontId="8" fillId="4" borderId="6" xfId="0" applyNumberFormat="1" applyFont="1" applyFill="1" applyBorder="1" applyAlignment="1">
      <alignment horizontal="center" vertical="center"/>
    </xf>
    <xf numFmtId="179" fontId="3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/>
    </xf>
    <xf numFmtId="179" fontId="3" fillId="4" borderId="6" xfId="0" applyNumberFormat="1" applyFont="1" applyFill="1" applyBorder="1" applyAlignment="1">
      <alignment horizontal="center" vertical="center" wrapText="1"/>
    </xf>
    <xf numFmtId="180" fontId="3" fillId="4" borderId="6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180" fontId="9" fillId="4" borderId="6" xfId="0" applyNumberFormat="1" applyFont="1" applyFill="1" applyBorder="1" applyAlignment="1">
      <alignment horizontal="center" vertical="center" wrapText="1"/>
    </xf>
    <xf numFmtId="181" fontId="2" fillId="4" borderId="6" xfId="0" applyNumberFormat="1" applyFont="1" applyFill="1" applyBorder="1" applyAlignment="1">
      <alignment horizontal="center" vertical="center" wrapText="1"/>
    </xf>
    <xf numFmtId="180" fontId="2" fillId="4" borderId="6" xfId="0" applyNumberFormat="1" applyFont="1" applyFill="1" applyBorder="1" applyAlignment="1">
      <alignment horizontal="center" vertical="center" wrapText="1"/>
    </xf>
    <xf numFmtId="177" fontId="3" fillId="6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76" fontId="3" fillId="3" borderId="6" xfId="0" applyNumberFormat="1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182" fontId="10" fillId="0" borderId="6" xfId="0" applyNumberFormat="1" applyFont="1" applyBorder="1" applyAlignment="1">
      <alignment horizontal="center" vertical="center"/>
    </xf>
    <xf numFmtId="183" fontId="10" fillId="0" borderId="6" xfId="0" applyNumberFormat="1" applyFont="1" applyBorder="1" applyAlignment="1">
      <alignment horizontal="center" vertical="center"/>
    </xf>
    <xf numFmtId="184" fontId="11" fillId="0" borderId="6" xfId="0" applyNumberFormat="1" applyFont="1" applyBorder="1" applyAlignment="1">
      <alignment horizontal="center" vertical="center"/>
    </xf>
    <xf numFmtId="184" fontId="4" fillId="0" borderId="6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183" fontId="3" fillId="0" borderId="6" xfId="0" applyNumberFormat="1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textRotation="255" wrapText="1"/>
    </xf>
    <xf numFmtId="183" fontId="10" fillId="0" borderId="6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178" fontId="12" fillId="5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textRotation="255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255" wrapText="1"/>
    </xf>
    <xf numFmtId="0" fontId="3" fillId="3" borderId="17" xfId="0" applyFont="1" applyFill="1" applyBorder="1" applyAlignment="1">
      <alignment horizontal="center" vertical="center" textRotation="255" wrapText="1"/>
    </xf>
    <xf numFmtId="182" fontId="10" fillId="0" borderId="17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textRotation="255" wrapText="1"/>
    </xf>
    <xf numFmtId="0" fontId="3" fillId="7" borderId="6" xfId="0" applyFont="1" applyFill="1" applyBorder="1" applyAlignment="1">
      <alignment horizontal="center" vertical="center"/>
    </xf>
    <xf numFmtId="176" fontId="3" fillId="7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177" fontId="3" fillId="7" borderId="6" xfId="0" applyNumberFormat="1" applyFont="1" applyFill="1" applyBorder="1" applyAlignment="1">
      <alignment horizontal="center" vertical="center"/>
    </xf>
    <xf numFmtId="7" fontId="3" fillId="7" borderId="6" xfId="0" applyNumberFormat="1" applyFont="1" applyFill="1" applyBorder="1" applyAlignment="1">
      <alignment horizontal="center" vertical="center"/>
    </xf>
    <xf numFmtId="7" fontId="2" fillId="7" borderId="6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179" fontId="3" fillId="8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wrapText="1"/>
    </xf>
    <xf numFmtId="176" fontId="3" fillId="8" borderId="6" xfId="0" applyNumberFormat="1" applyFont="1" applyFill="1" applyBorder="1" applyAlignment="1">
      <alignment horizontal="center" vertical="center"/>
    </xf>
    <xf numFmtId="177" fontId="3" fillId="8" borderId="6" xfId="0" applyNumberFormat="1" applyFont="1" applyFill="1" applyBorder="1" applyAlignment="1">
      <alignment horizontal="center" vertical="center"/>
    </xf>
    <xf numFmtId="178" fontId="9" fillId="8" borderId="6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182" fontId="10" fillId="0" borderId="3" xfId="0" applyNumberFormat="1" applyFont="1" applyBorder="1" applyAlignment="1">
      <alignment horizontal="center" vertical="center"/>
    </xf>
    <xf numFmtId="183" fontId="10" fillId="0" borderId="3" xfId="0" applyNumberFormat="1" applyFont="1" applyBorder="1" applyAlignment="1">
      <alignment horizontal="center" vertical="center" wrapText="1"/>
    </xf>
    <xf numFmtId="184" fontId="11" fillId="0" borderId="1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textRotation="255" wrapText="1"/>
    </xf>
    <xf numFmtId="0" fontId="3" fillId="0" borderId="24" xfId="0" applyFont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textRotation="255" wrapText="1"/>
    </xf>
    <xf numFmtId="183" fontId="10" fillId="0" borderId="9" xfId="0" applyNumberFormat="1" applyFont="1" applyBorder="1" applyAlignment="1">
      <alignment horizontal="center" vertical="center" wrapText="1"/>
    </xf>
    <xf numFmtId="7" fontId="3" fillId="9" borderId="6" xfId="0" applyNumberFormat="1" applyFont="1" applyFill="1" applyBorder="1" applyAlignment="1">
      <alignment horizontal="center" vertical="center"/>
    </xf>
    <xf numFmtId="179" fontId="3" fillId="9" borderId="6" xfId="0" applyNumberFormat="1" applyFont="1" applyFill="1" applyBorder="1" applyAlignment="1">
      <alignment horizontal="center" vertical="center"/>
    </xf>
    <xf numFmtId="179" fontId="3" fillId="9" borderId="6" xfId="0" applyNumberFormat="1" applyFont="1" applyFill="1" applyBorder="1" applyAlignment="1">
      <alignment horizontal="center" vertical="center" wrapText="1"/>
    </xf>
    <xf numFmtId="180" fontId="3" fillId="9" borderId="6" xfId="0" applyNumberFormat="1" applyFont="1" applyFill="1" applyBorder="1" applyAlignment="1">
      <alignment horizontal="center" vertical="center"/>
    </xf>
    <xf numFmtId="180" fontId="9" fillId="9" borderId="6" xfId="0" applyNumberFormat="1" applyFont="1" applyFill="1" applyBorder="1" applyAlignment="1">
      <alignment horizontal="center" vertical="center" wrapText="1"/>
    </xf>
    <xf numFmtId="180" fontId="2" fillId="9" borderId="6" xfId="0" applyNumberFormat="1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176" fontId="3" fillId="9" borderId="6" xfId="0" applyNumberFormat="1" applyFont="1" applyFill="1" applyBorder="1" applyAlignment="1">
      <alignment horizontal="center" vertical="center"/>
    </xf>
    <xf numFmtId="176" fontId="4" fillId="9" borderId="6" xfId="0" applyNumberFormat="1" applyFont="1" applyFill="1" applyBorder="1" applyAlignment="1">
      <alignment horizontal="center" vertical="center"/>
    </xf>
    <xf numFmtId="183" fontId="10" fillId="0" borderId="17" xfId="0" applyNumberFormat="1" applyFont="1" applyBorder="1" applyAlignment="1">
      <alignment horizontal="center" vertical="center" wrapText="1"/>
    </xf>
    <xf numFmtId="185" fontId="0" fillId="0" borderId="0" xfId="0" applyNumberFormat="1" applyAlignment="1">
      <alignment vertical="center"/>
    </xf>
    <xf numFmtId="185" fontId="3" fillId="0" borderId="0" xfId="0" applyNumberFormat="1" applyFont="1" applyBorder="1" applyAlignment="1">
      <alignment vertical="center"/>
    </xf>
    <xf numFmtId="179" fontId="3" fillId="0" borderId="0" xfId="0" applyNumberFormat="1" applyFont="1" applyBorder="1" applyAlignment="1">
      <alignment vertical="center"/>
    </xf>
    <xf numFmtId="186" fontId="3" fillId="0" borderId="0" xfId="0" applyNumberFormat="1" applyFont="1" applyBorder="1" applyAlignment="1">
      <alignment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187" fontId="0" fillId="0" borderId="0" xfId="0" applyNumberFormat="1" applyAlignment="1">
      <alignment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181" fontId="2" fillId="9" borderId="6" xfId="0" applyNumberFormat="1" applyFont="1" applyFill="1" applyBorder="1" applyAlignment="1">
      <alignment horizontal="center" vertical="center" wrapText="1"/>
    </xf>
    <xf numFmtId="177" fontId="3" fillId="9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185" fontId="4" fillId="10" borderId="6" xfId="0" applyNumberFormat="1" applyFont="1" applyFill="1" applyBorder="1" applyAlignment="1">
      <alignment horizontal="center" vertical="center"/>
    </xf>
    <xf numFmtId="185" fontId="4" fillId="3" borderId="6" xfId="0" applyNumberFormat="1" applyFont="1" applyFill="1" applyBorder="1" applyAlignment="1">
      <alignment horizontal="center" vertical="center"/>
    </xf>
    <xf numFmtId="182" fontId="10" fillId="9" borderId="6" xfId="0" applyNumberFormat="1" applyFont="1" applyFill="1" applyBorder="1" applyAlignment="1">
      <alignment horizontal="center" vertical="center"/>
    </xf>
    <xf numFmtId="183" fontId="10" fillId="9" borderId="6" xfId="0" applyNumberFormat="1" applyFont="1" applyFill="1" applyBorder="1" applyAlignment="1">
      <alignment horizontal="center" vertical="center" wrapText="1"/>
    </xf>
    <xf numFmtId="182" fontId="10" fillId="9" borderId="17" xfId="0" applyNumberFormat="1" applyFont="1" applyFill="1" applyBorder="1" applyAlignment="1">
      <alignment horizontal="center" vertical="center"/>
    </xf>
    <xf numFmtId="185" fontId="1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85" fontId="5" fillId="0" borderId="0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96"/>
  <sheetViews>
    <sheetView tabSelected="1" zoomScale="115" zoomScaleNormal="115" topLeftCell="H1" workbookViewId="0">
      <pane ySplit="13" topLeftCell="A15" activePane="bottomLeft" state="frozen"/>
      <selection/>
      <selection pane="bottomLeft" activeCell="O17" sqref="O17"/>
    </sheetView>
  </sheetViews>
  <sheetFormatPr defaultColWidth="14" defaultRowHeight="12.75"/>
  <cols>
    <col min="1" max="1" width="17" customWidth="1"/>
    <col min="2" max="2" width="13" customWidth="1"/>
    <col min="3" max="4" width="14" customWidth="1"/>
    <col min="5" max="5" width="17.2857142857143" customWidth="1"/>
    <col min="6" max="6" width="22.4285714285714" customWidth="1"/>
    <col min="7" max="7" width="14" customWidth="1"/>
    <col min="8" max="8" width="15" customWidth="1"/>
    <col min="9" max="9" width="16" customWidth="1"/>
    <col min="10" max="11" width="14" customWidth="1"/>
    <col min="12" max="12" width="18" customWidth="1"/>
    <col min="13" max="13" width="24.7142857142857" customWidth="1"/>
    <col min="14" max="14" width="22.8571428571429" style="121" customWidth="1"/>
    <col min="15" max="15" width="19.2857142857143" customWidth="1"/>
    <col min="16" max="16" width="19.2857142857143" style="121" customWidth="1"/>
    <col min="17" max="17" width="16.1428571428571" customWidth="1"/>
    <col min="18" max="18" width="24.4285714285714" style="121" customWidth="1"/>
    <col min="19" max="20" width="18" customWidth="1"/>
    <col min="21" max="21" width="19.1428571428571" customWidth="1"/>
    <col min="22" max="22" width="24.7142857142857" style="121" customWidth="1"/>
    <col min="23" max="24" width="24.2857142857143" style="121" customWidth="1"/>
  </cols>
  <sheetData>
    <row r="1" ht="12" customHeight="1" spans="1:24">
      <c r="A1" s="18" t="s">
        <v>0</v>
      </c>
      <c r="B1" s="19" t="s">
        <v>1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N1" s="122" t="s">
        <v>8</v>
      </c>
      <c r="O1" s="26"/>
      <c r="P1" s="122" t="s">
        <v>9</v>
      </c>
      <c r="Q1" s="26"/>
      <c r="R1" s="122" t="s">
        <v>10</v>
      </c>
      <c r="S1" s="26"/>
      <c r="T1" s="26" t="s">
        <v>11</v>
      </c>
      <c r="U1" s="26"/>
      <c r="V1" s="122" t="s">
        <v>12</v>
      </c>
      <c r="W1" s="122"/>
      <c r="X1" s="122" t="s">
        <v>13</v>
      </c>
    </row>
    <row r="2" ht="12" customHeight="1" spans="1:24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N2" s="122">
        <f>H2/H12</f>
        <v>0.0399201596806387</v>
      </c>
      <c r="O2" s="26"/>
      <c r="P2" s="122">
        <f>H2/H12</f>
        <v>0.0399201596806387</v>
      </c>
      <c r="Q2" s="123"/>
      <c r="R2" s="122">
        <f>H2/H12</f>
        <v>0.0399201596806387</v>
      </c>
      <c r="S2" s="26"/>
      <c r="T2" s="124">
        <f>H2/$B$12</f>
        <v>6.66666666666667</v>
      </c>
      <c r="U2" s="26"/>
      <c r="V2" s="122">
        <f>H2/B12</f>
        <v>6.66666666666667</v>
      </c>
      <c r="W2" s="122"/>
      <c r="X2" s="121">
        <f>H2/B12</f>
        <v>6.66666666666667</v>
      </c>
    </row>
    <row r="3" ht="12" customHeight="1" spans="1:24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9000</v>
      </c>
      <c r="I3" s="22">
        <v>1</v>
      </c>
      <c r="J3" s="24"/>
      <c r="K3" s="23"/>
      <c r="L3" s="25"/>
      <c r="N3" s="122">
        <f>H3/H12</f>
        <v>0.718562874251497</v>
      </c>
      <c r="O3" s="26"/>
      <c r="P3" s="122">
        <f>H3/H12</f>
        <v>0.718562874251497</v>
      </c>
      <c r="Q3" s="123"/>
      <c r="R3" s="122">
        <f>H3/H12</f>
        <v>0.718562874251497</v>
      </c>
      <c r="S3" s="26"/>
      <c r="T3" s="124">
        <f>H3/$B$12</f>
        <v>120</v>
      </c>
      <c r="U3" s="26"/>
      <c r="V3" s="122">
        <f>H3/B12</f>
        <v>120</v>
      </c>
      <c r="W3" s="122"/>
      <c r="X3" s="121">
        <f>H3/B12</f>
        <v>120</v>
      </c>
    </row>
    <row r="4" ht="12" customHeight="1" spans="1:24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1800</v>
      </c>
      <c r="I4" s="22">
        <v>1</v>
      </c>
      <c r="J4" s="24"/>
      <c r="K4" s="23"/>
      <c r="L4" s="25"/>
      <c r="N4" s="122">
        <f>H4/H12</f>
        <v>0.143712574850299</v>
      </c>
      <c r="O4" s="26"/>
      <c r="P4" s="122">
        <f>H4/H12</f>
        <v>0.143712574850299</v>
      </c>
      <c r="Q4" s="123"/>
      <c r="R4" s="122">
        <f>H4/H12</f>
        <v>0.143712574850299</v>
      </c>
      <c r="S4" s="26"/>
      <c r="T4" s="124">
        <f>H4/$B$12</f>
        <v>24</v>
      </c>
      <c r="U4" s="26"/>
      <c r="V4" s="122">
        <f>H4/B12</f>
        <v>24</v>
      </c>
      <c r="W4" s="122"/>
      <c r="X4" s="121">
        <f>H4/B12</f>
        <v>24</v>
      </c>
    </row>
    <row r="5" ht="12" customHeight="1" spans="1:24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3000</v>
      </c>
      <c r="I5" s="22">
        <v>1</v>
      </c>
      <c r="J5" s="24"/>
      <c r="K5" s="23"/>
      <c r="L5" s="25"/>
      <c r="N5" s="122">
        <f>H5/H12</f>
        <v>0.239520958083832</v>
      </c>
      <c r="O5" s="26"/>
      <c r="P5" s="122">
        <f>H5/H12</f>
        <v>0.239520958083832</v>
      </c>
      <c r="Q5" s="123"/>
      <c r="R5" s="122">
        <f>H5/H12</f>
        <v>0.239520958083832</v>
      </c>
      <c r="S5" s="26"/>
      <c r="T5" s="124">
        <f>H5/$B$12</f>
        <v>40</v>
      </c>
      <c r="U5" s="26"/>
      <c r="V5" s="122">
        <f>H5/B12</f>
        <v>40</v>
      </c>
      <c r="W5" s="122"/>
      <c r="X5" s="121">
        <f>H5/B12</f>
        <v>40</v>
      </c>
    </row>
    <row r="6" ht="12" customHeight="1" spans="1:24">
      <c r="A6" s="18"/>
      <c r="B6" s="24"/>
      <c r="C6" s="36"/>
      <c r="D6" s="37"/>
      <c r="E6" s="38"/>
      <c r="F6" s="22" t="s">
        <v>21</v>
      </c>
      <c r="G6" s="22" t="s">
        <v>22</v>
      </c>
      <c r="H6" s="39">
        <v>10429</v>
      </c>
      <c r="I6" s="22">
        <v>1</v>
      </c>
      <c r="J6" s="24"/>
      <c r="K6" s="23"/>
      <c r="L6" s="25"/>
      <c r="N6" s="122">
        <f>H6*7/H12</f>
        <v>5.82858283433134</v>
      </c>
      <c r="O6" s="26"/>
      <c r="P6" s="122">
        <f>H6*7/H12</f>
        <v>5.82858283433134</v>
      </c>
      <c r="Q6" s="123"/>
      <c r="R6" s="122">
        <f>H6*J10/H12</f>
        <v>5.82858283433134</v>
      </c>
      <c r="S6" s="26"/>
      <c r="T6" s="124">
        <f>H6/$B$12*7</f>
        <v>973.373333333333</v>
      </c>
      <c r="U6" s="26"/>
      <c r="V6" s="122">
        <f>H6*7/B12</f>
        <v>973.373333333333</v>
      </c>
      <c r="W6" s="122"/>
      <c r="X6" s="121">
        <f>H6*7/B12</f>
        <v>973.373333333333</v>
      </c>
    </row>
    <row r="7" ht="11.25" customHeight="1" spans="1:24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1480</v>
      </c>
      <c r="I7" s="35">
        <v>1</v>
      </c>
      <c r="J7" s="24"/>
      <c r="K7" s="23"/>
      <c r="L7" s="25"/>
      <c r="N7" s="122">
        <f>H7*J10/H12</f>
        <v>0.827145708582834</v>
      </c>
      <c r="O7" s="26"/>
      <c r="P7" s="122"/>
      <c r="Q7" s="123"/>
      <c r="R7" s="122"/>
      <c r="S7" s="26"/>
      <c r="T7" s="124">
        <f>H7/$B$12*7</f>
        <v>138.133333333333</v>
      </c>
      <c r="U7" s="26"/>
      <c r="V7" s="122"/>
      <c r="W7" s="122"/>
    </row>
    <row r="8" ht="12" customHeight="1" spans="1:24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0"/>
      <c r="I8" s="22">
        <v>1</v>
      </c>
      <c r="J8" s="24"/>
      <c r="K8" s="23"/>
      <c r="L8" s="25"/>
      <c r="N8" s="122"/>
      <c r="O8" s="26"/>
      <c r="P8" s="122"/>
      <c r="Q8" s="123"/>
      <c r="R8" s="122"/>
      <c r="S8" s="26"/>
      <c r="T8" s="124">
        <f>H8/$B$12*7</f>
        <v>0</v>
      </c>
      <c r="U8" s="26"/>
      <c r="V8" s="122"/>
      <c r="W8" s="122"/>
    </row>
    <row r="9" ht="12" customHeight="1" spans="1:24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/>
      <c r="J9" s="24"/>
      <c r="K9" s="23"/>
      <c r="L9" s="25" t="s">
        <v>29</v>
      </c>
      <c r="N9" s="122">
        <f>H9*J10/H12</f>
        <v>0.838323353293413</v>
      </c>
      <c r="O9" s="26"/>
      <c r="P9" s="122">
        <f>H9*7/H12</f>
        <v>0.838323353293413</v>
      </c>
      <c r="Q9" s="123"/>
      <c r="R9" s="122">
        <f>H9*J10/H12</f>
        <v>0.838323353293413</v>
      </c>
      <c r="S9" s="26"/>
      <c r="T9" s="124">
        <f>H9/$B$12*7</f>
        <v>140</v>
      </c>
      <c r="U9" s="26"/>
      <c r="V9" s="122">
        <f>H9*J10/B12</f>
        <v>140</v>
      </c>
      <c r="W9" s="122"/>
      <c r="X9" s="121">
        <f>H9*J10/B12</f>
        <v>140</v>
      </c>
    </row>
    <row r="10" ht="18" customHeight="1" spans="1:24">
      <c r="A10" s="42" t="s">
        <v>30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14300</v>
      </c>
      <c r="I10" s="24" t="s">
        <v>32</v>
      </c>
      <c r="J10" s="125">
        <v>7</v>
      </c>
      <c r="K10" s="41">
        <f>H10/J10</f>
        <v>2042.85714285714</v>
      </c>
      <c r="L10" s="126">
        <v>350</v>
      </c>
      <c r="M10" s="26"/>
      <c r="N10" s="127">
        <f>(C15*J10)/L10</f>
        <v>0.6</v>
      </c>
      <c r="O10" s="26"/>
      <c r="P10" s="122"/>
      <c r="Q10" s="26"/>
      <c r="R10" s="122"/>
      <c r="S10" s="26"/>
      <c r="T10" s="26"/>
      <c r="U10" s="26"/>
      <c r="V10" s="122"/>
      <c r="W10" s="122"/>
    </row>
    <row r="11" ht="12" customHeight="1" spans="1:24">
      <c r="A11" s="46" t="s">
        <v>33</v>
      </c>
      <c r="B11" s="19" t="s">
        <v>34</v>
      </c>
      <c r="C11" s="20"/>
      <c r="D11" s="20"/>
      <c r="E11" s="20"/>
      <c r="F11" s="21"/>
      <c r="G11" s="22" t="s">
        <v>22</v>
      </c>
      <c r="H11" s="47">
        <f>SUM(H6:H9)</f>
        <v>13409</v>
      </c>
      <c r="I11" s="24" t="s">
        <v>35</v>
      </c>
      <c r="J11" s="47">
        <f>H11+K10</f>
        <v>15451.8571428571</v>
      </c>
      <c r="K11" s="48">
        <f>J11*J10</f>
        <v>108163</v>
      </c>
      <c r="L11" s="25" t="s">
        <v>36</v>
      </c>
      <c r="M11" s="26"/>
      <c r="N11" s="122"/>
      <c r="O11" s="26"/>
      <c r="P11" s="122"/>
      <c r="Q11" s="26"/>
      <c r="R11" s="122"/>
      <c r="S11" s="26"/>
      <c r="T11" s="26"/>
      <c r="U11" s="26"/>
      <c r="V11" s="122"/>
      <c r="W11" s="122"/>
    </row>
    <row r="12" ht="17.25" customHeight="1" spans="1:24">
      <c r="A12" s="24" t="s">
        <v>37</v>
      </c>
      <c r="B12" s="128">
        <v>75</v>
      </c>
      <c r="C12" s="129"/>
      <c r="D12" s="130"/>
      <c r="E12" s="24" t="s">
        <v>38</v>
      </c>
      <c r="F12" s="52">
        <f>K11/B12</f>
        <v>1442.17333333333</v>
      </c>
      <c r="G12" s="22" t="s">
        <v>39</v>
      </c>
      <c r="H12" s="131">
        <v>12525</v>
      </c>
      <c r="I12" s="24" t="s">
        <v>40</v>
      </c>
      <c r="J12" s="54">
        <f>F12/167</f>
        <v>8.63576846307385</v>
      </c>
      <c r="K12" s="30"/>
      <c r="L12" s="132">
        <v>1.8</v>
      </c>
      <c r="O12" s="26"/>
      <c r="P12" s="122"/>
      <c r="Q12" s="26"/>
      <c r="R12" s="122"/>
      <c r="S12" s="124"/>
      <c r="T12" s="124"/>
      <c r="U12" s="124"/>
      <c r="V12" s="122"/>
      <c r="W12" s="122"/>
    </row>
    <row r="13" ht="15.95" customHeight="1" spans="1:24">
      <c r="A13" s="56"/>
      <c r="B13" s="57" t="s">
        <v>41</v>
      </c>
      <c r="C13" s="133" t="s">
        <v>42</v>
      </c>
      <c r="D13" s="133" t="s">
        <v>43</v>
      </c>
      <c r="E13" s="133" t="s">
        <v>44</v>
      </c>
      <c r="F13" s="134" t="s">
        <v>45</v>
      </c>
      <c r="G13" s="134" t="s">
        <v>46</v>
      </c>
      <c r="H13" s="134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  <c r="M13" s="134" t="s">
        <v>52</v>
      </c>
      <c r="N13" s="135" t="s">
        <v>53</v>
      </c>
      <c r="O13" s="134" t="s">
        <v>54</v>
      </c>
      <c r="P13" s="135" t="s">
        <v>55</v>
      </c>
      <c r="Q13" s="134" t="s">
        <v>56</v>
      </c>
      <c r="R13" s="135" t="s">
        <v>57</v>
      </c>
      <c r="S13" s="59" t="s">
        <v>58</v>
      </c>
      <c r="T13" s="59" t="s">
        <v>59</v>
      </c>
      <c r="U13" s="60" t="s">
        <v>60</v>
      </c>
      <c r="V13" s="136" t="s">
        <v>61</v>
      </c>
      <c r="W13" s="136" t="s">
        <v>62</v>
      </c>
      <c r="X13" s="136" t="s">
        <v>63</v>
      </c>
    </row>
    <row r="14" ht="27.95" customHeight="1" spans="1:24">
      <c r="A14" s="82" t="s">
        <v>64</v>
      </c>
      <c r="B14" s="62" t="s">
        <v>65</v>
      </c>
      <c r="C14" s="137">
        <v>30</v>
      </c>
      <c r="D14" s="138">
        <v>1980</v>
      </c>
      <c r="E14" s="139">
        <v>1430</v>
      </c>
      <c r="F14" s="65">
        <f>$J$12+(C14*$J$10/$L$10)</f>
        <v>9.23576846307385</v>
      </c>
      <c r="G14" s="65">
        <f>IF(D14="","",($J$11-$H$7+D14)*$J$10/$H$12)</f>
        <v>8.91520958083832</v>
      </c>
      <c r="H14" s="66">
        <f>IF(E14="","",($J$11-$H$7+E14)*$J$10/$H$12)</f>
        <v>8.6078243512974</v>
      </c>
      <c r="I14" s="65">
        <f>$F$12+(C14*$J$10/$L$12)</f>
        <v>1558.84</v>
      </c>
      <c r="J14" s="65">
        <f>IF(D14="","",($J$11-$H$7+D14)*$J$10/$B$12)</f>
        <v>1488.84</v>
      </c>
      <c r="K14" s="66">
        <f>IF(E14="","",($J$11-$H$7+E14)*$J$10/$B$12)</f>
        <v>1437.50666666667</v>
      </c>
      <c r="L14" s="67">
        <v>10.1</v>
      </c>
      <c r="M14" s="121">
        <f>C14*J10/L10</f>
        <v>0.6</v>
      </c>
      <c r="N14" s="121">
        <f>SUM(N2:N9)</f>
        <v>8.63576846307385</v>
      </c>
      <c r="O14" s="121">
        <f>D14*J10/H12</f>
        <v>1.10658682634731</v>
      </c>
      <c r="P14" s="121">
        <f>(J11-H7)*J10/H12</f>
        <v>7.80862275449102</v>
      </c>
      <c r="Q14" s="121">
        <f>E14*J10/H12</f>
        <v>0.799201596806387</v>
      </c>
      <c r="R14" s="121">
        <f>SUM(R2:R9)</f>
        <v>7.80862275449102</v>
      </c>
      <c r="S14" s="121">
        <f>C14*J10/L12</f>
        <v>116.666666666667</v>
      </c>
      <c r="T14" s="121">
        <f>K11/B12</f>
        <v>1442.17333333333</v>
      </c>
      <c r="U14" s="140">
        <f>D14*J10/B12</f>
        <v>184.8</v>
      </c>
      <c r="V14" s="121">
        <f>(J11-H7)*J10/B12</f>
        <v>1304.04</v>
      </c>
      <c r="W14" s="121">
        <f>E14*J10/B12</f>
        <v>133.466666666667</v>
      </c>
      <c r="X14" s="121">
        <f>SUM(X2:X9)</f>
        <v>1304.04</v>
      </c>
    </row>
    <row r="15" ht="23.1" customHeight="1" spans="1:24">
      <c r="A15" s="82"/>
      <c r="B15" s="62" t="s">
        <v>66</v>
      </c>
      <c r="C15" s="63">
        <v>30</v>
      </c>
      <c r="D15" s="72">
        <v>1980</v>
      </c>
      <c r="E15" s="84">
        <v>1430</v>
      </c>
      <c r="F15" s="65">
        <f>$J$12+(C15*$J$10/$L$10)</f>
        <v>9.23576846307385</v>
      </c>
      <c r="G15" s="65">
        <f>IF(D15="","",($J$11-$H$7+D15)*$J$10/$H$12)</f>
        <v>8.91520958083832</v>
      </c>
      <c r="H15" s="66">
        <f>IF(E15="","",($J$11-$H$7+E15)*$J$10/$H$12)</f>
        <v>8.6078243512974</v>
      </c>
      <c r="I15" s="65">
        <f>$F$12+(C15*$J$10/$L$12)</f>
        <v>1558.84</v>
      </c>
      <c r="J15" s="65">
        <f t="shared" ref="J14:J45" si="0">IF(D15="","",($J$11-$H$7+D15)*$J$10/$B$12)</f>
        <v>1488.84</v>
      </c>
      <c r="K15" s="66">
        <f t="shared" ref="K14:K45" si="1">IF(E15="","",($J$11-$H$7+E15)*$J$10/$B$12)</f>
        <v>1437.50666666667</v>
      </c>
      <c r="L15" s="67">
        <v>10.1</v>
      </c>
    </row>
    <row r="16" ht="23.1" customHeight="1" spans="1:24">
      <c r="A16" s="82"/>
      <c r="B16" s="62" t="s">
        <v>67</v>
      </c>
      <c r="C16" s="63">
        <v>35</v>
      </c>
      <c r="D16" s="72">
        <v>1980</v>
      </c>
      <c r="E16" s="84">
        <v>1430</v>
      </c>
      <c r="F16" s="65">
        <f>$J$12+(C16*$J$10/$L$10)</f>
        <v>9.33576846307385</v>
      </c>
      <c r="G16" s="65">
        <f>IF(D16="","",($J$11-$H$7+D16)*$J$10/$H$12)</f>
        <v>8.91520958083832</v>
      </c>
      <c r="H16" s="66">
        <f t="shared" ref="H15:H45" si="2">IF(E16="","",($J$11-$H$7+E16)*$J$10/$H$12)</f>
        <v>8.6078243512974</v>
      </c>
      <c r="I16" s="65">
        <f t="shared" ref="I16:I45" si="3">$F$12+(C16*$J$10/$L$12)</f>
        <v>1578.28444444444</v>
      </c>
      <c r="J16" s="65">
        <f t="shared" si="0"/>
        <v>1488.84</v>
      </c>
      <c r="K16" s="66">
        <f t="shared" si="1"/>
        <v>1437.50666666667</v>
      </c>
      <c r="L16" s="67">
        <v>10.1</v>
      </c>
      <c r="M16" s="141"/>
    </row>
    <row r="17" ht="23.1" customHeight="1" spans="1:23">
      <c r="A17" s="82"/>
      <c r="B17" s="62" t="s">
        <v>68</v>
      </c>
      <c r="C17" s="63">
        <v>30</v>
      </c>
      <c r="D17" s="72">
        <v>1980</v>
      </c>
      <c r="E17" s="84">
        <v>1430</v>
      </c>
      <c r="F17" s="65">
        <f t="shared" ref="F15:F45" si="4">$J$12+(C17*$J$10/$L$10)</f>
        <v>9.23576846307385</v>
      </c>
      <c r="G17" s="65">
        <f>IF(D17="","",($J$11-$H$7+D17)*$J$10/$H$12)</f>
        <v>8.91520958083832</v>
      </c>
      <c r="H17" s="66">
        <f t="shared" si="2"/>
        <v>8.6078243512974</v>
      </c>
      <c r="I17" s="65">
        <f t="shared" si="3"/>
        <v>1558.84</v>
      </c>
      <c r="J17" s="65">
        <f t="shared" si="0"/>
        <v>1488.84</v>
      </c>
      <c r="K17" s="66">
        <f t="shared" si="1"/>
        <v>1437.50666666667</v>
      </c>
      <c r="L17" s="67">
        <v>10.1</v>
      </c>
      <c r="M17" s="141"/>
    </row>
    <row r="18" ht="23.1" customHeight="1" spans="1:23">
      <c r="A18" s="107" t="s">
        <v>69</v>
      </c>
      <c r="B18" s="80" t="s">
        <v>70</v>
      </c>
      <c r="C18" s="63">
        <v>70</v>
      </c>
      <c r="D18" s="120">
        <v>2980</v>
      </c>
      <c r="E18" s="84">
        <v>2730</v>
      </c>
      <c r="F18" s="65">
        <f t="shared" si="4"/>
        <v>10.0357684630739</v>
      </c>
      <c r="G18" s="65">
        <f>IF(D18="","",($J$11-$H$7+D18)*$J$10/$H$12)</f>
        <v>9.47409181636727</v>
      </c>
      <c r="H18" s="66">
        <f t="shared" si="2"/>
        <v>9.33437125748503</v>
      </c>
      <c r="I18" s="65">
        <f t="shared" si="3"/>
        <v>1714.39555555556</v>
      </c>
      <c r="J18" s="65">
        <f t="shared" si="0"/>
        <v>1582.17333333333</v>
      </c>
      <c r="K18" s="66">
        <f t="shared" si="1"/>
        <v>1558.84</v>
      </c>
      <c r="L18" s="67">
        <v>10.9</v>
      </c>
      <c r="M18" s="141"/>
    </row>
    <row r="19" ht="23.1" customHeight="1" spans="1:23">
      <c r="A19" s="107"/>
      <c r="B19" s="80" t="s">
        <v>71</v>
      </c>
      <c r="C19" s="63">
        <v>70</v>
      </c>
      <c r="D19" s="120">
        <v>2980</v>
      </c>
      <c r="E19" s="84">
        <v>2730</v>
      </c>
      <c r="F19" s="65">
        <f t="shared" si="4"/>
        <v>10.0357684630739</v>
      </c>
      <c r="G19" s="65">
        <f t="shared" ref="G15:G45" si="5">IF(D19="","",($J$11-$H$7+D19)*$J$10/$H$12)</f>
        <v>9.47409181636727</v>
      </c>
      <c r="H19" s="66">
        <f t="shared" si="2"/>
        <v>9.33437125748503</v>
      </c>
      <c r="I19" s="65">
        <f t="shared" si="3"/>
        <v>1714.39555555556</v>
      </c>
      <c r="J19" s="65">
        <f t="shared" si="0"/>
        <v>1582.17333333333</v>
      </c>
      <c r="K19" s="66">
        <f t="shared" si="1"/>
        <v>1558.84</v>
      </c>
      <c r="L19" s="67">
        <v>10.9</v>
      </c>
      <c r="M19" s="141"/>
      <c r="O19" s="141"/>
    </row>
    <row r="20" ht="23.1" customHeight="1" spans="1:23">
      <c r="A20" s="107"/>
      <c r="B20" s="80" t="s">
        <v>72</v>
      </c>
      <c r="C20" s="63">
        <v>70</v>
      </c>
      <c r="D20" s="120">
        <v>2980</v>
      </c>
      <c r="E20" s="84">
        <v>2530</v>
      </c>
      <c r="F20" s="65">
        <f t="shared" si="4"/>
        <v>10.0357684630739</v>
      </c>
      <c r="G20" s="65">
        <f t="shared" si="5"/>
        <v>9.47409181636727</v>
      </c>
      <c r="H20" s="66">
        <f t="shared" si="2"/>
        <v>9.22259481037924</v>
      </c>
      <c r="I20" s="65">
        <f t="shared" si="3"/>
        <v>1714.39555555556</v>
      </c>
      <c r="J20" s="65">
        <f t="shared" si="0"/>
        <v>1582.17333333333</v>
      </c>
      <c r="K20" s="66">
        <f t="shared" si="1"/>
        <v>1540.17333333333</v>
      </c>
      <c r="L20" s="67">
        <v>10.9</v>
      </c>
      <c r="M20" s="141"/>
      <c r="O20" s="141"/>
    </row>
    <row r="21" ht="23.1" customHeight="1" spans="1:23">
      <c r="A21" s="107"/>
      <c r="B21" s="80" t="s">
        <v>73</v>
      </c>
      <c r="C21" s="63">
        <v>70</v>
      </c>
      <c r="D21" s="120">
        <v>2980</v>
      </c>
      <c r="E21" s="84">
        <v>2530</v>
      </c>
      <c r="F21" s="65">
        <f t="shared" si="4"/>
        <v>10.0357684630739</v>
      </c>
      <c r="G21" s="65">
        <f t="shared" si="5"/>
        <v>9.47409181636727</v>
      </c>
      <c r="H21" s="66">
        <f t="shared" si="2"/>
        <v>9.22259481037924</v>
      </c>
      <c r="I21" s="65">
        <f t="shared" si="3"/>
        <v>1714.39555555556</v>
      </c>
      <c r="J21" s="65">
        <f t="shared" si="0"/>
        <v>1582.17333333333</v>
      </c>
      <c r="K21" s="66">
        <f t="shared" si="1"/>
        <v>1540.17333333333</v>
      </c>
      <c r="L21" s="67">
        <v>10.9</v>
      </c>
      <c r="M21" s="141"/>
      <c r="O21" s="142"/>
    </row>
    <row r="22" ht="23.1" customHeight="1" spans="1:23">
      <c r="A22" s="107"/>
      <c r="B22" s="80" t="s">
        <v>74</v>
      </c>
      <c r="C22" s="63">
        <v>70</v>
      </c>
      <c r="D22" s="120">
        <v>2980</v>
      </c>
      <c r="E22" s="84">
        <v>2430</v>
      </c>
      <c r="F22" s="65">
        <f t="shared" si="4"/>
        <v>10.0357684630739</v>
      </c>
      <c r="G22" s="65">
        <f t="shared" si="5"/>
        <v>9.47409181636727</v>
      </c>
      <c r="H22" s="66">
        <f t="shared" si="2"/>
        <v>9.16670658682635</v>
      </c>
      <c r="I22" s="65">
        <f t="shared" si="3"/>
        <v>1714.39555555556</v>
      </c>
      <c r="J22" s="65">
        <f t="shared" si="0"/>
        <v>1582.17333333333</v>
      </c>
      <c r="K22" s="66">
        <f t="shared" si="1"/>
        <v>1530.84</v>
      </c>
      <c r="L22" s="67">
        <v>10.9</v>
      </c>
      <c r="M22" s="141"/>
    </row>
    <row r="23" ht="23.1" customHeight="1" spans="1:23">
      <c r="A23" s="107"/>
      <c r="B23" s="80" t="s">
        <v>75</v>
      </c>
      <c r="C23" s="63">
        <v>70</v>
      </c>
      <c r="D23" s="120">
        <v>2980</v>
      </c>
      <c r="E23" s="84">
        <v>2430</v>
      </c>
      <c r="F23" s="65">
        <f t="shared" si="4"/>
        <v>10.0357684630739</v>
      </c>
      <c r="G23" s="65">
        <f t="shared" si="5"/>
        <v>9.47409181636727</v>
      </c>
      <c r="H23" s="66">
        <f t="shared" si="2"/>
        <v>9.16670658682635</v>
      </c>
      <c r="I23" s="65">
        <f t="shared" si="3"/>
        <v>1714.39555555556</v>
      </c>
      <c r="J23" s="65">
        <f t="shared" si="0"/>
        <v>1582.17333333333</v>
      </c>
      <c r="K23" s="66">
        <f t="shared" si="1"/>
        <v>1530.84</v>
      </c>
      <c r="L23" s="67">
        <v>10.9</v>
      </c>
      <c r="M23" s="141"/>
    </row>
    <row r="24" ht="23.1" customHeight="1" spans="1:23">
      <c r="A24" s="107" t="s">
        <v>76</v>
      </c>
      <c r="B24" s="62" t="s">
        <v>77</v>
      </c>
      <c r="C24" s="63">
        <v>55</v>
      </c>
      <c r="D24" s="72">
        <v>2180</v>
      </c>
      <c r="E24" s="84">
        <v>1430</v>
      </c>
      <c r="F24" s="65">
        <f t="shared" si="4"/>
        <v>9.73576846307385</v>
      </c>
      <c r="G24" s="65">
        <f t="shared" si="5"/>
        <v>9.02698602794411</v>
      </c>
      <c r="H24" s="66">
        <f t="shared" si="2"/>
        <v>8.6078243512974</v>
      </c>
      <c r="I24" s="65">
        <f t="shared" si="3"/>
        <v>1656.06222222222</v>
      </c>
      <c r="J24" s="65">
        <f t="shared" si="0"/>
        <v>1507.50666666667</v>
      </c>
      <c r="K24" s="66">
        <f t="shared" si="1"/>
        <v>1437.50666666667</v>
      </c>
      <c r="L24" s="67">
        <v>10.1</v>
      </c>
      <c r="M24" s="141"/>
    </row>
    <row r="25" ht="23.1" customHeight="1" spans="1:23">
      <c r="A25" s="107"/>
      <c r="B25" s="62" t="s">
        <v>78</v>
      </c>
      <c r="C25" s="63">
        <v>55</v>
      </c>
      <c r="D25" s="72">
        <v>2180</v>
      </c>
      <c r="E25" s="84"/>
      <c r="F25" s="65">
        <f t="shared" si="4"/>
        <v>9.73576846307385</v>
      </c>
      <c r="G25" s="65">
        <f t="shared" si="5"/>
        <v>9.02698602794411</v>
      </c>
      <c r="H25" s="66" t="str">
        <f t="shared" si="2"/>
        <v/>
      </c>
      <c r="I25" s="65">
        <f t="shared" si="3"/>
        <v>1656.06222222222</v>
      </c>
      <c r="J25" s="65">
        <f t="shared" si="0"/>
        <v>1507.50666666667</v>
      </c>
      <c r="K25" s="66" t="str">
        <f t="shared" si="1"/>
        <v/>
      </c>
      <c r="L25" s="67">
        <v>10.1</v>
      </c>
      <c r="M25" s="141"/>
      <c r="N25" s="143"/>
      <c r="O25" s="7"/>
      <c r="P25" s="143"/>
      <c r="Q25" s="7"/>
      <c r="R25" s="143"/>
      <c r="S25" s="7"/>
      <c r="T25" s="7"/>
      <c r="U25" s="7"/>
      <c r="V25" s="143"/>
      <c r="W25" s="143"/>
    </row>
    <row r="26" ht="23.1" customHeight="1" spans="1:23">
      <c r="A26" s="107"/>
      <c r="B26" s="62" t="s">
        <v>79</v>
      </c>
      <c r="C26" s="63">
        <v>55</v>
      </c>
      <c r="D26" s="72">
        <v>2180</v>
      </c>
      <c r="E26" s="84">
        <v>1430</v>
      </c>
      <c r="F26" s="65">
        <f t="shared" si="4"/>
        <v>9.73576846307385</v>
      </c>
      <c r="G26" s="65">
        <f t="shared" si="5"/>
        <v>9.02698602794411</v>
      </c>
      <c r="H26" s="66">
        <f t="shared" si="2"/>
        <v>8.6078243512974</v>
      </c>
      <c r="I26" s="65">
        <f t="shared" si="3"/>
        <v>1656.06222222222</v>
      </c>
      <c r="J26" s="65">
        <f t="shared" si="0"/>
        <v>1507.50666666667</v>
      </c>
      <c r="K26" s="66">
        <f t="shared" si="1"/>
        <v>1437.50666666667</v>
      </c>
      <c r="L26" s="67">
        <v>10.1</v>
      </c>
      <c r="M26" s="141"/>
    </row>
    <row r="27" ht="23.1" customHeight="1" spans="1:23">
      <c r="A27" s="107"/>
      <c r="B27" s="62" t="s">
        <v>80</v>
      </c>
      <c r="C27" s="63">
        <v>50</v>
      </c>
      <c r="D27" s="72">
        <v>2180</v>
      </c>
      <c r="E27" s="84">
        <v>1480</v>
      </c>
      <c r="F27" s="65">
        <f t="shared" si="4"/>
        <v>9.63576846307385</v>
      </c>
      <c r="G27" s="65">
        <f t="shared" si="5"/>
        <v>9.02698602794411</v>
      </c>
      <c r="H27" s="66">
        <f t="shared" si="2"/>
        <v>8.63576846307385</v>
      </c>
      <c r="I27" s="65">
        <f t="shared" si="3"/>
        <v>1636.61777777778</v>
      </c>
      <c r="J27" s="65">
        <f t="shared" si="0"/>
        <v>1507.50666666667</v>
      </c>
      <c r="K27" s="66">
        <f t="shared" si="1"/>
        <v>1442.17333333333</v>
      </c>
      <c r="L27" s="67"/>
      <c r="M27" s="141"/>
    </row>
    <row r="28" ht="23.1" customHeight="1" spans="1:23">
      <c r="A28" s="107"/>
      <c r="B28" s="62" t="s">
        <v>81</v>
      </c>
      <c r="C28" s="63">
        <v>50</v>
      </c>
      <c r="D28" s="72">
        <v>2180</v>
      </c>
      <c r="E28" s="84"/>
      <c r="F28" s="65">
        <f t="shared" si="4"/>
        <v>9.63576846307385</v>
      </c>
      <c r="G28" s="65">
        <f t="shared" si="5"/>
        <v>9.02698602794411</v>
      </c>
      <c r="H28" s="66" t="str">
        <f t="shared" si="2"/>
        <v/>
      </c>
      <c r="I28" s="65">
        <f t="shared" si="3"/>
        <v>1636.61777777778</v>
      </c>
      <c r="J28" s="65">
        <f t="shared" si="0"/>
        <v>1507.50666666667</v>
      </c>
      <c r="K28" s="66" t="str">
        <f t="shared" si="1"/>
        <v/>
      </c>
      <c r="L28" s="67"/>
      <c r="M28" s="141"/>
    </row>
    <row r="29" ht="23.1" customHeight="1" spans="1:23">
      <c r="A29" s="107"/>
      <c r="B29" s="62" t="s">
        <v>82</v>
      </c>
      <c r="C29" s="63">
        <v>50</v>
      </c>
      <c r="D29" s="72">
        <v>2180</v>
      </c>
      <c r="E29" s="84"/>
      <c r="F29" s="65">
        <f t="shared" si="4"/>
        <v>9.63576846307385</v>
      </c>
      <c r="G29" s="65">
        <f t="shared" si="5"/>
        <v>9.02698602794411</v>
      </c>
      <c r="H29" s="66" t="str">
        <f t="shared" si="2"/>
        <v/>
      </c>
      <c r="I29" s="65">
        <f t="shared" si="3"/>
        <v>1636.61777777778</v>
      </c>
      <c r="J29" s="65">
        <f t="shared" si="0"/>
        <v>1507.50666666667</v>
      </c>
      <c r="K29" s="66" t="str">
        <f t="shared" si="1"/>
        <v/>
      </c>
      <c r="L29" s="67"/>
      <c r="M29" s="141"/>
    </row>
    <row r="30" ht="23.1" customHeight="1" spans="1:23">
      <c r="A30" s="107"/>
      <c r="B30" s="62" t="s">
        <v>83</v>
      </c>
      <c r="C30" s="63">
        <v>65</v>
      </c>
      <c r="D30" s="72">
        <v>2180</v>
      </c>
      <c r="E30" s="84">
        <v>1580</v>
      </c>
      <c r="F30" s="65">
        <f t="shared" si="4"/>
        <v>9.93576846307385</v>
      </c>
      <c r="G30" s="65">
        <f t="shared" si="5"/>
        <v>9.02698602794411</v>
      </c>
      <c r="H30" s="66">
        <f t="shared" si="2"/>
        <v>8.69165668662675</v>
      </c>
      <c r="I30" s="65">
        <f t="shared" si="3"/>
        <v>1694.95111111111</v>
      </c>
      <c r="J30" s="65">
        <f t="shared" si="0"/>
        <v>1507.50666666667</v>
      </c>
      <c r="K30" s="66">
        <f t="shared" si="1"/>
        <v>1451.50666666667</v>
      </c>
      <c r="L30" s="67">
        <v>10.6</v>
      </c>
      <c r="M30" s="141"/>
    </row>
    <row r="31" ht="23.1" customHeight="1" spans="1:23">
      <c r="A31" s="107"/>
      <c r="B31" s="62" t="s">
        <v>84</v>
      </c>
      <c r="C31" s="63">
        <v>65</v>
      </c>
      <c r="D31" s="72">
        <v>2180</v>
      </c>
      <c r="E31" s="84">
        <v>1580</v>
      </c>
      <c r="F31" s="65">
        <f t="shared" si="4"/>
        <v>9.93576846307385</v>
      </c>
      <c r="G31" s="65">
        <f t="shared" si="5"/>
        <v>9.02698602794411</v>
      </c>
      <c r="H31" s="66">
        <f t="shared" si="2"/>
        <v>8.69165668662675</v>
      </c>
      <c r="I31" s="65">
        <f t="shared" si="3"/>
        <v>1694.95111111111</v>
      </c>
      <c r="J31" s="65">
        <f t="shared" si="0"/>
        <v>1507.50666666667</v>
      </c>
      <c r="K31" s="66">
        <f t="shared" si="1"/>
        <v>1451.50666666667</v>
      </c>
      <c r="L31" s="67">
        <v>10.6</v>
      </c>
      <c r="M31" s="141"/>
    </row>
    <row r="32" ht="23.1" customHeight="1" spans="1:23">
      <c r="A32" s="107"/>
      <c r="B32" s="62" t="s">
        <v>85</v>
      </c>
      <c r="C32" s="63">
        <v>65</v>
      </c>
      <c r="D32" s="72">
        <v>2180</v>
      </c>
      <c r="E32" s="84">
        <v>1580</v>
      </c>
      <c r="F32" s="65">
        <f t="shared" si="4"/>
        <v>9.93576846307385</v>
      </c>
      <c r="G32" s="65">
        <f t="shared" si="5"/>
        <v>9.02698602794411</v>
      </c>
      <c r="H32" s="66">
        <f t="shared" si="2"/>
        <v>8.69165668662675</v>
      </c>
      <c r="I32" s="65">
        <f t="shared" si="3"/>
        <v>1694.95111111111</v>
      </c>
      <c r="J32" s="65">
        <f t="shared" si="0"/>
        <v>1507.50666666667</v>
      </c>
      <c r="K32" s="66">
        <f t="shared" si="1"/>
        <v>1451.50666666667</v>
      </c>
      <c r="L32" s="67">
        <v>10.6</v>
      </c>
      <c r="M32" s="141"/>
    </row>
    <row r="33" ht="23.1" customHeight="1" spans="1:12">
      <c r="A33" s="107" t="s">
        <v>86</v>
      </c>
      <c r="B33" s="62" t="s">
        <v>87</v>
      </c>
      <c r="C33" s="63">
        <v>85</v>
      </c>
      <c r="D33" s="72">
        <v>3180</v>
      </c>
      <c r="E33" s="84">
        <v>2750</v>
      </c>
      <c r="F33" s="65">
        <f t="shared" si="4"/>
        <v>10.3357684630739</v>
      </c>
      <c r="G33" s="65">
        <f t="shared" si="5"/>
        <v>9.58586826347305</v>
      </c>
      <c r="H33" s="66">
        <f t="shared" si="2"/>
        <v>9.34554890219561</v>
      </c>
      <c r="I33" s="65">
        <f t="shared" si="3"/>
        <v>1772.72888888889</v>
      </c>
      <c r="J33" s="65">
        <f t="shared" si="0"/>
        <v>1600.84</v>
      </c>
      <c r="K33" s="66">
        <f t="shared" si="1"/>
        <v>1560.70666666667</v>
      </c>
      <c r="L33" s="67">
        <v>10.9</v>
      </c>
    </row>
    <row r="34" ht="23.1" customHeight="1" spans="1:12">
      <c r="A34" s="107"/>
      <c r="B34" s="62" t="s">
        <v>88</v>
      </c>
      <c r="C34" s="63">
        <v>85</v>
      </c>
      <c r="D34" s="72">
        <v>3180</v>
      </c>
      <c r="E34" s="84">
        <v>2750</v>
      </c>
      <c r="F34" s="65">
        <f t="shared" si="4"/>
        <v>10.3357684630739</v>
      </c>
      <c r="G34" s="65">
        <f t="shared" si="5"/>
        <v>9.58586826347305</v>
      </c>
      <c r="H34" s="66">
        <f t="shared" si="2"/>
        <v>9.34554890219561</v>
      </c>
      <c r="I34" s="65">
        <f t="shared" si="3"/>
        <v>1772.72888888889</v>
      </c>
      <c r="J34" s="65">
        <f t="shared" si="0"/>
        <v>1600.84</v>
      </c>
      <c r="K34" s="66">
        <f t="shared" si="1"/>
        <v>1560.70666666667</v>
      </c>
      <c r="L34" s="67">
        <v>10.9</v>
      </c>
    </row>
    <row r="35" ht="23.1" customHeight="1" spans="1:12">
      <c r="A35" s="107"/>
      <c r="B35" s="62" t="s">
        <v>89</v>
      </c>
      <c r="C35" s="63">
        <v>85</v>
      </c>
      <c r="D35" s="72">
        <v>3180</v>
      </c>
      <c r="E35" s="84">
        <v>2500</v>
      </c>
      <c r="F35" s="65">
        <f t="shared" si="4"/>
        <v>10.3357684630739</v>
      </c>
      <c r="G35" s="65">
        <f t="shared" si="5"/>
        <v>9.58586826347305</v>
      </c>
      <c r="H35" s="66">
        <f t="shared" si="2"/>
        <v>9.20582834331337</v>
      </c>
      <c r="I35" s="65">
        <f t="shared" si="3"/>
        <v>1772.72888888889</v>
      </c>
      <c r="J35" s="65">
        <f t="shared" si="0"/>
        <v>1600.84</v>
      </c>
      <c r="K35" s="66">
        <f t="shared" si="1"/>
        <v>1537.37333333333</v>
      </c>
      <c r="L35" s="67">
        <v>10.9</v>
      </c>
    </row>
    <row r="36" ht="23.1" customHeight="1" spans="1:12">
      <c r="A36" s="107"/>
      <c r="B36" s="62" t="s">
        <v>90</v>
      </c>
      <c r="C36" s="63">
        <v>85</v>
      </c>
      <c r="D36" s="72">
        <v>3180</v>
      </c>
      <c r="E36" s="84"/>
      <c r="F36" s="65">
        <f t="shared" si="4"/>
        <v>10.3357684630739</v>
      </c>
      <c r="G36" s="65">
        <f t="shared" si="5"/>
        <v>9.58586826347305</v>
      </c>
      <c r="H36" s="66" t="str">
        <f t="shared" si="2"/>
        <v/>
      </c>
      <c r="I36" s="65">
        <f t="shared" si="3"/>
        <v>1772.72888888889</v>
      </c>
      <c r="J36" s="65">
        <f t="shared" si="0"/>
        <v>1600.84</v>
      </c>
      <c r="K36" s="66" t="str">
        <f t="shared" si="1"/>
        <v/>
      </c>
      <c r="L36" s="67"/>
    </row>
    <row r="37" ht="23.1" customHeight="1" spans="1:12">
      <c r="A37" s="107"/>
      <c r="B37" s="62" t="s">
        <v>91</v>
      </c>
      <c r="C37" s="63">
        <v>85</v>
      </c>
      <c r="D37" s="72">
        <v>3180</v>
      </c>
      <c r="E37" s="84">
        <v>2480</v>
      </c>
      <c r="F37" s="65">
        <f t="shared" si="4"/>
        <v>10.3357684630739</v>
      </c>
      <c r="G37" s="65">
        <f t="shared" si="5"/>
        <v>9.58586826347305</v>
      </c>
      <c r="H37" s="66">
        <f t="shared" si="2"/>
        <v>9.1946506986028</v>
      </c>
      <c r="I37" s="65">
        <f t="shared" si="3"/>
        <v>1772.72888888889</v>
      </c>
      <c r="J37" s="65">
        <f t="shared" si="0"/>
        <v>1600.84</v>
      </c>
      <c r="K37" s="66">
        <f t="shared" si="1"/>
        <v>1535.50666666667</v>
      </c>
      <c r="L37" s="67"/>
    </row>
    <row r="38" ht="23.1" customHeight="1" spans="1:12">
      <c r="A38" s="107"/>
      <c r="B38" s="62" t="s">
        <v>92</v>
      </c>
      <c r="C38" s="63">
        <v>85</v>
      </c>
      <c r="D38" s="72">
        <v>3180</v>
      </c>
      <c r="E38" s="84"/>
      <c r="F38" s="65">
        <f t="shared" si="4"/>
        <v>10.3357684630739</v>
      </c>
      <c r="G38" s="65">
        <f t="shared" si="5"/>
        <v>9.58586826347305</v>
      </c>
      <c r="H38" s="66" t="str">
        <f t="shared" si="2"/>
        <v/>
      </c>
      <c r="I38" s="65">
        <f t="shared" si="3"/>
        <v>1772.72888888889</v>
      </c>
      <c r="J38" s="65">
        <f t="shared" si="0"/>
        <v>1600.84</v>
      </c>
      <c r="K38" s="66" t="str">
        <f t="shared" si="1"/>
        <v/>
      </c>
      <c r="L38" s="67"/>
    </row>
    <row r="39" ht="23.1" customHeight="1" spans="1:12">
      <c r="A39" s="107"/>
      <c r="B39" s="62" t="s">
        <v>93</v>
      </c>
      <c r="C39" s="63">
        <v>85</v>
      </c>
      <c r="D39" s="72">
        <v>3180</v>
      </c>
      <c r="E39" s="84"/>
      <c r="F39" s="65">
        <f t="shared" si="4"/>
        <v>10.3357684630739</v>
      </c>
      <c r="G39" s="65">
        <f t="shared" si="5"/>
        <v>9.58586826347305</v>
      </c>
      <c r="H39" s="66" t="str">
        <f t="shared" si="2"/>
        <v/>
      </c>
      <c r="I39" s="65">
        <f t="shared" si="3"/>
        <v>1772.72888888889</v>
      </c>
      <c r="J39" s="65">
        <f t="shared" si="0"/>
        <v>1600.84</v>
      </c>
      <c r="K39" s="66" t="str">
        <f t="shared" si="1"/>
        <v/>
      </c>
      <c r="L39" s="67">
        <v>10.9</v>
      </c>
    </row>
    <row r="40" ht="23.1" customHeight="1" spans="1:12">
      <c r="A40" s="107"/>
      <c r="B40" s="62" t="s">
        <v>94</v>
      </c>
      <c r="C40" s="63">
        <v>85</v>
      </c>
      <c r="D40" s="72">
        <v>3180</v>
      </c>
      <c r="E40" s="84">
        <v>2750</v>
      </c>
      <c r="F40" s="65">
        <f t="shared" si="4"/>
        <v>10.3357684630739</v>
      </c>
      <c r="G40" s="65">
        <f t="shared" si="5"/>
        <v>9.58586826347305</v>
      </c>
      <c r="H40" s="66">
        <f t="shared" si="2"/>
        <v>9.34554890219561</v>
      </c>
      <c r="I40" s="65">
        <f t="shared" si="3"/>
        <v>1772.72888888889</v>
      </c>
      <c r="J40" s="65">
        <f t="shared" si="0"/>
        <v>1600.84</v>
      </c>
      <c r="K40" s="66">
        <f t="shared" si="1"/>
        <v>1560.70666666667</v>
      </c>
      <c r="L40" s="67"/>
    </row>
    <row r="41" ht="23.1" customHeight="1" spans="1:12">
      <c r="A41" s="107"/>
      <c r="B41" s="62" t="s">
        <v>95</v>
      </c>
      <c r="C41" s="63">
        <v>85</v>
      </c>
      <c r="D41" s="72">
        <v>3180</v>
      </c>
      <c r="E41" s="84">
        <v>2730</v>
      </c>
      <c r="F41" s="65">
        <f t="shared" si="4"/>
        <v>10.3357684630739</v>
      </c>
      <c r="G41" s="65">
        <f t="shared" si="5"/>
        <v>9.58586826347305</v>
      </c>
      <c r="H41" s="66">
        <f t="shared" si="2"/>
        <v>9.33437125748503</v>
      </c>
      <c r="I41" s="65">
        <f t="shared" si="3"/>
        <v>1772.72888888889</v>
      </c>
      <c r="J41" s="65">
        <f t="shared" si="0"/>
        <v>1600.84</v>
      </c>
      <c r="K41" s="66">
        <f t="shared" si="1"/>
        <v>1558.84</v>
      </c>
      <c r="L41" s="67">
        <v>10.9</v>
      </c>
    </row>
    <row r="42" ht="23.1" customHeight="1" spans="1:12">
      <c r="A42" s="107"/>
      <c r="B42" s="62" t="s">
        <v>96</v>
      </c>
      <c r="C42" s="63">
        <v>85</v>
      </c>
      <c r="D42" s="72">
        <v>3180</v>
      </c>
      <c r="E42" s="84">
        <v>2730</v>
      </c>
      <c r="F42" s="65">
        <f t="shared" si="4"/>
        <v>10.3357684630739</v>
      </c>
      <c r="G42" s="65">
        <f t="shared" si="5"/>
        <v>9.58586826347305</v>
      </c>
      <c r="H42" s="66">
        <f t="shared" si="2"/>
        <v>9.33437125748503</v>
      </c>
      <c r="I42" s="65">
        <f t="shared" si="3"/>
        <v>1772.72888888889</v>
      </c>
      <c r="J42" s="65">
        <f t="shared" si="0"/>
        <v>1600.84</v>
      </c>
      <c r="K42" s="66">
        <f t="shared" si="1"/>
        <v>1558.84</v>
      </c>
      <c r="L42" s="67"/>
    </row>
    <row r="43" ht="23.1" customHeight="1" spans="1:12">
      <c r="A43" s="109" t="s">
        <v>97</v>
      </c>
      <c r="B43" s="80" t="s">
        <v>98</v>
      </c>
      <c r="C43" s="63">
        <v>160</v>
      </c>
      <c r="D43" s="120">
        <v>5380</v>
      </c>
      <c r="E43" s="84"/>
      <c r="F43" s="65">
        <f t="shared" si="4"/>
        <v>11.8357684630739</v>
      </c>
      <c r="G43" s="65">
        <f t="shared" si="5"/>
        <v>10.8154091816367</v>
      </c>
      <c r="H43" s="66" t="str">
        <f t="shared" si="2"/>
        <v/>
      </c>
      <c r="I43" s="65">
        <f t="shared" si="3"/>
        <v>2064.39555555556</v>
      </c>
      <c r="J43" s="65">
        <f t="shared" si="0"/>
        <v>1806.17333333333</v>
      </c>
      <c r="K43" s="66" t="str">
        <f t="shared" si="1"/>
        <v/>
      </c>
      <c r="L43" s="67"/>
    </row>
    <row r="44" ht="23.1" customHeight="1" spans="1:12">
      <c r="A44" s="109"/>
      <c r="B44" s="80" t="s">
        <v>99</v>
      </c>
      <c r="C44" s="63">
        <v>170</v>
      </c>
      <c r="D44" s="120">
        <v>5380</v>
      </c>
      <c r="E44" s="84"/>
      <c r="F44" s="65">
        <f t="shared" si="4"/>
        <v>12.0357684630739</v>
      </c>
      <c r="G44" s="65">
        <f t="shared" si="5"/>
        <v>10.8154091816367</v>
      </c>
      <c r="H44" s="66" t="str">
        <f t="shared" si="2"/>
        <v/>
      </c>
      <c r="I44" s="65">
        <f t="shared" si="3"/>
        <v>2103.28444444444</v>
      </c>
      <c r="J44" s="65">
        <f t="shared" si="0"/>
        <v>1806.17333333333</v>
      </c>
      <c r="K44" s="66" t="str">
        <f t="shared" si="1"/>
        <v/>
      </c>
      <c r="L44" s="67"/>
    </row>
    <row r="45" ht="23.1" customHeight="1" spans="1:12">
      <c r="A45" s="109"/>
      <c r="B45" s="80" t="s">
        <v>100</v>
      </c>
      <c r="C45" s="63">
        <v>190</v>
      </c>
      <c r="D45" s="120">
        <v>5380</v>
      </c>
      <c r="E45" s="84"/>
      <c r="F45" s="65">
        <f t="shared" si="4"/>
        <v>12.4357684630739</v>
      </c>
      <c r="G45" s="65">
        <f t="shared" si="5"/>
        <v>10.8154091816367</v>
      </c>
      <c r="H45" s="66" t="str">
        <f t="shared" si="2"/>
        <v/>
      </c>
      <c r="I45" s="65">
        <f t="shared" si="3"/>
        <v>2181.06222222222</v>
      </c>
      <c r="J45" s="65">
        <f t="shared" si="0"/>
        <v>1806.17333333333</v>
      </c>
      <c r="K45" s="66" t="str">
        <f t="shared" si="1"/>
        <v/>
      </c>
      <c r="L45" s="67">
        <v>13.2</v>
      </c>
    </row>
    <row r="46" ht="23.1" customHeight="1" spans="1:12">
      <c r="A46" s="109"/>
      <c r="B46" s="80" t="s">
        <v>101</v>
      </c>
      <c r="C46" s="63">
        <v>160</v>
      </c>
      <c r="D46" s="120">
        <v>5380</v>
      </c>
      <c r="E46" s="84">
        <v>4280</v>
      </c>
      <c r="F46" s="65">
        <f t="shared" ref="F46:F77" si="6">$J$12+(C46*$J$10/$L$10)</f>
        <v>11.8357684630739</v>
      </c>
      <c r="G46" s="65">
        <f t="shared" ref="G46:G77" si="7">IF(D46="","",($J$11-$H$7+D46)*$J$10/$H$12)</f>
        <v>10.8154091816367</v>
      </c>
      <c r="H46" s="66">
        <f t="shared" ref="H46:H77" si="8">IF(E46="","",($J$11-$H$7+E46)*$J$10/$H$12)</f>
        <v>10.2006387225549</v>
      </c>
      <c r="I46" s="65">
        <f t="shared" ref="I46:I77" si="9">$F$12+(C46*$J$10/$L$12)</f>
        <v>2064.39555555556</v>
      </c>
      <c r="J46" s="65">
        <f t="shared" ref="J46:J77" si="10">IF(D46="","",($J$11-$H$7+D46)*$J$10/$B$12)</f>
        <v>1806.17333333333</v>
      </c>
      <c r="K46" s="66">
        <f t="shared" ref="K46:K77" si="11">IF(E46="","",($J$11-$H$7+E46)*$J$10/$B$12)</f>
        <v>1703.50666666667</v>
      </c>
      <c r="L46" s="67">
        <v>12.7</v>
      </c>
    </row>
    <row r="47" ht="23.1" customHeight="1" spans="1:12">
      <c r="A47" s="108" t="s">
        <v>102</v>
      </c>
      <c r="B47" s="80" t="s">
        <v>103</v>
      </c>
      <c r="C47" s="63">
        <v>215</v>
      </c>
      <c r="D47" s="120">
        <v>6380</v>
      </c>
      <c r="E47" s="84"/>
      <c r="F47" s="65">
        <f t="shared" si="6"/>
        <v>12.9357684630739</v>
      </c>
      <c r="G47" s="65">
        <f t="shared" si="7"/>
        <v>11.3742914171657</v>
      </c>
      <c r="H47" s="66" t="str">
        <f t="shared" si="8"/>
        <v/>
      </c>
      <c r="I47" s="65">
        <f t="shared" si="9"/>
        <v>2278.28444444444</v>
      </c>
      <c r="J47" s="65">
        <f t="shared" si="10"/>
        <v>1899.50666666667</v>
      </c>
      <c r="K47" s="66" t="str">
        <f t="shared" si="11"/>
        <v/>
      </c>
      <c r="L47" s="67">
        <v>13.2</v>
      </c>
    </row>
    <row r="48" ht="23.1" customHeight="1" spans="1:12">
      <c r="A48" s="108"/>
      <c r="B48" s="80" t="s">
        <v>104</v>
      </c>
      <c r="C48" s="63">
        <v>150</v>
      </c>
      <c r="D48" s="120">
        <v>5380</v>
      </c>
      <c r="E48" s="84"/>
      <c r="F48" s="65">
        <f t="shared" si="6"/>
        <v>11.6357684630739</v>
      </c>
      <c r="G48" s="65">
        <f t="shared" si="7"/>
        <v>10.8154091816367</v>
      </c>
      <c r="H48" s="66" t="str">
        <f t="shared" si="8"/>
        <v/>
      </c>
      <c r="I48" s="65">
        <f t="shared" si="9"/>
        <v>2025.50666666667</v>
      </c>
      <c r="J48" s="65">
        <f t="shared" si="10"/>
        <v>1806.17333333333</v>
      </c>
      <c r="K48" s="66" t="str">
        <f t="shared" si="11"/>
        <v/>
      </c>
      <c r="L48" s="67">
        <v>12.7</v>
      </c>
    </row>
    <row r="49" ht="23.1" customHeight="1" spans="1:12">
      <c r="A49" s="108"/>
      <c r="B49" s="80" t="s">
        <v>105</v>
      </c>
      <c r="C49" s="63">
        <v>190</v>
      </c>
      <c r="D49" s="120">
        <v>6380</v>
      </c>
      <c r="E49" s="84"/>
      <c r="F49" s="65">
        <f t="shared" si="6"/>
        <v>12.4357684630739</v>
      </c>
      <c r="G49" s="65">
        <f t="shared" si="7"/>
        <v>11.3742914171657</v>
      </c>
      <c r="H49" s="66" t="str">
        <f t="shared" si="8"/>
        <v/>
      </c>
      <c r="I49" s="65">
        <f t="shared" si="9"/>
        <v>2181.06222222222</v>
      </c>
      <c r="J49" s="65">
        <f t="shared" si="10"/>
        <v>1899.50666666667</v>
      </c>
      <c r="K49" s="66" t="str">
        <f t="shared" si="11"/>
        <v/>
      </c>
      <c r="L49" s="67">
        <v>13.2</v>
      </c>
    </row>
    <row r="50" ht="23.1" customHeight="1" spans="1:12">
      <c r="A50" s="108"/>
      <c r="B50" s="62" t="s">
        <v>106</v>
      </c>
      <c r="C50" s="63">
        <v>190</v>
      </c>
      <c r="D50" s="120">
        <v>6380</v>
      </c>
      <c r="E50" s="84"/>
      <c r="F50" s="65">
        <f t="shared" si="6"/>
        <v>12.4357684630739</v>
      </c>
      <c r="G50" s="65">
        <f t="shared" si="7"/>
        <v>11.3742914171657</v>
      </c>
      <c r="H50" s="66" t="str">
        <f t="shared" si="8"/>
        <v/>
      </c>
      <c r="I50" s="65">
        <f t="shared" si="9"/>
        <v>2181.06222222222</v>
      </c>
      <c r="J50" s="65">
        <f t="shared" si="10"/>
        <v>1899.50666666667</v>
      </c>
      <c r="K50" s="66" t="str">
        <f t="shared" si="11"/>
        <v/>
      </c>
      <c r="L50" s="67">
        <v>13.2</v>
      </c>
    </row>
    <row r="51" ht="23.1" customHeight="1" spans="1:12">
      <c r="A51" s="108"/>
      <c r="B51" s="80" t="s">
        <v>107</v>
      </c>
      <c r="C51" s="63">
        <v>190</v>
      </c>
      <c r="D51" s="120">
        <v>6380</v>
      </c>
      <c r="E51" s="84"/>
      <c r="F51" s="65">
        <f t="shared" si="6"/>
        <v>12.4357684630739</v>
      </c>
      <c r="G51" s="65">
        <f t="shared" si="7"/>
        <v>11.3742914171657</v>
      </c>
      <c r="H51" s="66" t="str">
        <f t="shared" si="8"/>
        <v/>
      </c>
      <c r="I51" s="65">
        <f t="shared" si="9"/>
        <v>2181.06222222222</v>
      </c>
      <c r="J51" s="65">
        <f t="shared" si="10"/>
        <v>1899.50666666667</v>
      </c>
      <c r="K51" s="66" t="str">
        <f t="shared" si="11"/>
        <v/>
      </c>
      <c r="L51" s="67">
        <v>13.2</v>
      </c>
    </row>
    <row r="52" ht="23.1" customHeight="1" spans="1:12">
      <c r="A52" s="108"/>
      <c r="B52" s="80" t="s">
        <v>108</v>
      </c>
      <c r="C52" s="63">
        <v>190</v>
      </c>
      <c r="D52" s="120">
        <v>6380</v>
      </c>
      <c r="E52" s="84"/>
      <c r="F52" s="65">
        <f t="shared" si="6"/>
        <v>12.4357684630739</v>
      </c>
      <c r="G52" s="65">
        <f t="shared" si="7"/>
        <v>11.3742914171657</v>
      </c>
      <c r="H52" s="66" t="str">
        <f t="shared" si="8"/>
        <v/>
      </c>
      <c r="I52" s="65">
        <f t="shared" si="9"/>
        <v>2181.06222222222</v>
      </c>
      <c r="J52" s="65">
        <f t="shared" si="10"/>
        <v>1899.50666666667</v>
      </c>
      <c r="K52" s="66" t="str">
        <f t="shared" si="11"/>
        <v/>
      </c>
      <c r="L52" s="67">
        <v>13.2</v>
      </c>
    </row>
    <row r="53" ht="23.1" customHeight="1" spans="1:12">
      <c r="A53" s="107" t="s">
        <v>109</v>
      </c>
      <c r="B53" s="62" t="s">
        <v>110</v>
      </c>
      <c r="C53" s="63">
        <v>180</v>
      </c>
      <c r="D53" s="72">
        <v>5880</v>
      </c>
      <c r="E53" s="84"/>
      <c r="F53" s="65">
        <f t="shared" si="6"/>
        <v>12.2357684630739</v>
      </c>
      <c r="G53" s="65">
        <f t="shared" si="7"/>
        <v>11.0948502994012</v>
      </c>
      <c r="H53" s="66" t="str">
        <f t="shared" si="8"/>
        <v/>
      </c>
      <c r="I53" s="65">
        <f t="shared" si="9"/>
        <v>2142.17333333333</v>
      </c>
      <c r="J53" s="65">
        <f t="shared" si="10"/>
        <v>1852.84</v>
      </c>
      <c r="K53" s="66" t="str">
        <f t="shared" si="11"/>
        <v/>
      </c>
      <c r="L53" s="67"/>
    </row>
    <row r="54" ht="23.1" customHeight="1" spans="1:12">
      <c r="A54" s="107"/>
      <c r="B54" s="62" t="s">
        <v>111</v>
      </c>
      <c r="C54" s="63">
        <v>180</v>
      </c>
      <c r="D54" s="72">
        <v>5880</v>
      </c>
      <c r="E54" s="84"/>
      <c r="F54" s="65">
        <f t="shared" si="6"/>
        <v>12.2357684630739</v>
      </c>
      <c r="G54" s="65">
        <f t="shared" si="7"/>
        <v>11.0948502994012</v>
      </c>
      <c r="H54" s="66" t="str">
        <f t="shared" si="8"/>
        <v/>
      </c>
      <c r="I54" s="65">
        <f t="shared" si="9"/>
        <v>2142.17333333333</v>
      </c>
      <c r="J54" s="65">
        <f t="shared" si="10"/>
        <v>1852.84</v>
      </c>
      <c r="K54" s="66" t="str">
        <f t="shared" si="11"/>
        <v/>
      </c>
      <c r="L54" s="67">
        <v>13.2</v>
      </c>
    </row>
    <row r="55" ht="23.1" customHeight="1" spans="1:12">
      <c r="A55" s="107"/>
      <c r="B55" s="62" t="s">
        <v>112</v>
      </c>
      <c r="C55" s="63">
        <v>180</v>
      </c>
      <c r="D55" s="72">
        <v>5880</v>
      </c>
      <c r="E55" s="84"/>
      <c r="F55" s="65">
        <f t="shared" si="6"/>
        <v>12.2357684630739</v>
      </c>
      <c r="G55" s="65">
        <f t="shared" si="7"/>
        <v>11.0948502994012</v>
      </c>
      <c r="H55" s="66" t="str">
        <f t="shared" si="8"/>
        <v/>
      </c>
      <c r="I55" s="65">
        <f t="shared" si="9"/>
        <v>2142.17333333333</v>
      </c>
      <c r="J55" s="65">
        <f t="shared" si="10"/>
        <v>1852.84</v>
      </c>
      <c r="K55" s="66" t="str">
        <f t="shared" si="11"/>
        <v/>
      </c>
      <c r="L55" s="67"/>
    </row>
    <row r="56" ht="23.1" customHeight="1" spans="1:12">
      <c r="A56" s="107"/>
      <c r="B56" s="62" t="s">
        <v>113</v>
      </c>
      <c r="C56" s="63">
        <v>195</v>
      </c>
      <c r="D56" s="72">
        <v>5880</v>
      </c>
      <c r="E56" s="84"/>
      <c r="F56" s="65">
        <f t="shared" si="6"/>
        <v>12.5357684630739</v>
      </c>
      <c r="G56" s="65">
        <f t="shared" si="7"/>
        <v>11.0948502994012</v>
      </c>
      <c r="H56" s="66" t="str">
        <f t="shared" si="8"/>
        <v/>
      </c>
      <c r="I56" s="65">
        <f t="shared" si="9"/>
        <v>2200.50666666667</v>
      </c>
      <c r="J56" s="65">
        <f t="shared" si="10"/>
        <v>1852.84</v>
      </c>
      <c r="K56" s="66" t="str">
        <f t="shared" si="11"/>
        <v/>
      </c>
      <c r="L56" s="67"/>
    </row>
    <row r="57" ht="23.1" customHeight="1" spans="1:12">
      <c r="A57" s="107"/>
      <c r="B57" s="62" t="s">
        <v>114</v>
      </c>
      <c r="C57" s="63">
        <v>130</v>
      </c>
      <c r="D57" s="72">
        <v>5880</v>
      </c>
      <c r="E57" s="84"/>
      <c r="F57" s="65">
        <f t="shared" si="6"/>
        <v>11.2357684630739</v>
      </c>
      <c r="G57" s="65">
        <f t="shared" si="7"/>
        <v>11.0948502994012</v>
      </c>
      <c r="H57" s="66" t="str">
        <f t="shared" si="8"/>
        <v/>
      </c>
      <c r="I57" s="65">
        <f t="shared" si="9"/>
        <v>1947.72888888889</v>
      </c>
      <c r="J57" s="65">
        <f t="shared" si="10"/>
        <v>1852.84</v>
      </c>
      <c r="K57" s="66" t="str">
        <f t="shared" si="11"/>
        <v/>
      </c>
      <c r="L57" s="67"/>
    </row>
    <row r="58" ht="23.1" customHeight="1" spans="1:12">
      <c r="A58" s="107"/>
      <c r="B58" s="62" t="s">
        <v>115</v>
      </c>
      <c r="C58" s="63">
        <v>195</v>
      </c>
      <c r="D58" s="72">
        <v>5880</v>
      </c>
      <c r="E58" s="84"/>
      <c r="F58" s="65">
        <f t="shared" si="6"/>
        <v>12.5357684630739</v>
      </c>
      <c r="G58" s="65">
        <f t="shared" si="7"/>
        <v>11.0948502994012</v>
      </c>
      <c r="H58" s="66" t="str">
        <f t="shared" si="8"/>
        <v/>
      </c>
      <c r="I58" s="65">
        <f t="shared" si="9"/>
        <v>2200.50666666667</v>
      </c>
      <c r="J58" s="65">
        <f t="shared" si="10"/>
        <v>1852.84</v>
      </c>
      <c r="K58" s="66" t="str">
        <f t="shared" si="11"/>
        <v/>
      </c>
      <c r="L58" s="67"/>
    </row>
    <row r="59" ht="23.1" customHeight="1" spans="1:12">
      <c r="A59" s="107"/>
      <c r="B59" s="62" t="s">
        <v>116</v>
      </c>
      <c r="C59" s="63">
        <v>195</v>
      </c>
      <c r="D59" s="72">
        <v>5880</v>
      </c>
      <c r="E59" s="84"/>
      <c r="F59" s="65">
        <f t="shared" si="6"/>
        <v>12.5357684630739</v>
      </c>
      <c r="G59" s="65">
        <f t="shared" si="7"/>
        <v>11.0948502994012</v>
      </c>
      <c r="H59" s="66" t="str">
        <f t="shared" si="8"/>
        <v/>
      </c>
      <c r="I59" s="65">
        <f t="shared" si="9"/>
        <v>2200.50666666667</v>
      </c>
      <c r="J59" s="65">
        <f t="shared" si="10"/>
        <v>1852.84</v>
      </c>
      <c r="K59" s="66" t="str">
        <f t="shared" si="11"/>
        <v/>
      </c>
      <c r="L59" s="67"/>
    </row>
    <row r="60" ht="23.1" customHeight="1" spans="1:12">
      <c r="A60" s="107"/>
      <c r="B60" s="62" t="s">
        <v>117</v>
      </c>
      <c r="C60" s="63">
        <v>130</v>
      </c>
      <c r="D60" s="72">
        <v>5880</v>
      </c>
      <c r="E60" s="84"/>
      <c r="F60" s="65">
        <f t="shared" si="6"/>
        <v>11.2357684630739</v>
      </c>
      <c r="G60" s="65">
        <f t="shared" si="7"/>
        <v>11.0948502994012</v>
      </c>
      <c r="H60" s="66" t="str">
        <f t="shared" si="8"/>
        <v/>
      </c>
      <c r="I60" s="65">
        <f t="shared" si="9"/>
        <v>1947.72888888889</v>
      </c>
      <c r="J60" s="65">
        <f t="shared" si="10"/>
        <v>1852.84</v>
      </c>
      <c r="K60" s="66" t="str">
        <f t="shared" si="11"/>
        <v/>
      </c>
      <c r="L60" s="67"/>
    </row>
    <row r="61" ht="23.1" customHeight="1" spans="1:12">
      <c r="A61" s="107"/>
      <c r="B61" s="62" t="s">
        <v>118</v>
      </c>
      <c r="C61" s="63">
        <v>195</v>
      </c>
      <c r="D61" s="72">
        <v>7280</v>
      </c>
      <c r="E61" s="84"/>
      <c r="F61" s="65">
        <f t="shared" si="6"/>
        <v>12.5357684630739</v>
      </c>
      <c r="G61" s="65">
        <f t="shared" si="7"/>
        <v>11.8772854291417</v>
      </c>
      <c r="H61" s="66" t="str">
        <f t="shared" si="8"/>
        <v/>
      </c>
      <c r="I61" s="65">
        <f t="shared" si="9"/>
        <v>2200.50666666667</v>
      </c>
      <c r="J61" s="65">
        <f t="shared" si="10"/>
        <v>1983.50666666667</v>
      </c>
      <c r="K61" s="66" t="str">
        <f t="shared" si="11"/>
        <v/>
      </c>
      <c r="L61" s="67"/>
    </row>
    <row r="62" ht="23.1" customHeight="1" spans="1:12">
      <c r="A62" s="107"/>
      <c r="B62" s="62" t="s">
        <v>119</v>
      </c>
      <c r="C62" s="63">
        <v>190</v>
      </c>
      <c r="D62" s="72">
        <v>7280</v>
      </c>
      <c r="E62" s="84"/>
      <c r="F62" s="65">
        <f t="shared" si="6"/>
        <v>12.4357684630739</v>
      </c>
      <c r="G62" s="65">
        <f t="shared" si="7"/>
        <v>11.8772854291417</v>
      </c>
      <c r="H62" s="66" t="str">
        <f t="shared" si="8"/>
        <v/>
      </c>
      <c r="I62" s="65">
        <f t="shared" si="9"/>
        <v>2181.06222222222</v>
      </c>
      <c r="J62" s="65">
        <f t="shared" si="10"/>
        <v>1983.50666666667</v>
      </c>
      <c r="K62" s="66" t="str">
        <f t="shared" si="11"/>
        <v/>
      </c>
      <c r="L62" s="67">
        <v>13.2</v>
      </c>
    </row>
    <row r="63" ht="23.1" customHeight="1" spans="1:12">
      <c r="A63" s="107"/>
      <c r="B63" s="62" t="s">
        <v>120</v>
      </c>
      <c r="C63" s="63">
        <v>220</v>
      </c>
      <c r="D63" s="72">
        <v>7280</v>
      </c>
      <c r="E63" s="84"/>
      <c r="F63" s="65">
        <f t="shared" si="6"/>
        <v>13.0357684630739</v>
      </c>
      <c r="G63" s="65">
        <f t="shared" si="7"/>
        <v>11.8772854291417</v>
      </c>
      <c r="H63" s="66" t="str">
        <f t="shared" si="8"/>
        <v/>
      </c>
      <c r="I63" s="65">
        <f t="shared" si="9"/>
        <v>2297.72888888889</v>
      </c>
      <c r="J63" s="65">
        <f t="shared" si="10"/>
        <v>1983.50666666667</v>
      </c>
      <c r="K63" s="66" t="str">
        <f t="shared" si="11"/>
        <v/>
      </c>
      <c r="L63" s="67">
        <v>13.2</v>
      </c>
    </row>
    <row r="64" ht="23.1" customHeight="1" spans="1:12">
      <c r="A64" s="107"/>
      <c r="B64" s="62" t="s">
        <v>121</v>
      </c>
      <c r="C64" s="63">
        <v>190</v>
      </c>
      <c r="D64" s="72">
        <v>7280</v>
      </c>
      <c r="E64" s="84"/>
      <c r="F64" s="65">
        <f t="shared" si="6"/>
        <v>12.4357684630739</v>
      </c>
      <c r="G64" s="65">
        <f t="shared" si="7"/>
        <v>11.8772854291417</v>
      </c>
      <c r="H64" s="66" t="str">
        <f t="shared" si="8"/>
        <v/>
      </c>
      <c r="I64" s="65">
        <f t="shared" si="9"/>
        <v>2181.06222222222</v>
      </c>
      <c r="J64" s="65">
        <f t="shared" si="10"/>
        <v>1983.50666666667</v>
      </c>
      <c r="K64" s="66" t="str">
        <f t="shared" si="11"/>
        <v/>
      </c>
      <c r="L64" s="67"/>
    </row>
    <row r="65" ht="23.1" customHeight="1" spans="1:12">
      <c r="A65" s="107"/>
      <c r="B65" s="62" t="s">
        <v>122</v>
      </c>
      <c r="C65" s="63">
        <v>190</v>
      </c>
      <c r="D65" s="72">
        <v>7280</v>
      </c>
      <c r="E65" s="84"/>
      <c r="F65" s="65">
        <f t="shared" si="6"/>
        <v>12.4357684630739</v>
      </c>
      <c r="G65" s="65">
        <f t="shared" si="7"/>
        <v>11.8772854291417</v>
      </c>
      <c r="H65" s="66" t="str">
        <f t="shared" si="8"/>
        <v/>
      </c>
      <c r="I65" s="65">
        <f t="shared" si="9"/>
        <v>2181.06222222222</v>
      </c>
      <c r="J65" s="65">
        <f t="shared" si="10"/>
        <v>1983.50666666667</v>
      </c>
      <c r="K65" s="66" t="str">
        <f t="shared" si="11"/>
        <v/>
      </c>
      <c r="L65" s="67"/>
    </row>
    <row r="66" ht="23.1" customHeight="1" spans="1:12">
      <c r="A66" s="107"/>
      <c r="B66" s="62" t="s">
        <v>123</v>
      </c>
      <c r="C66" s="63">
        <v>225</v>
      </c>
      <c r="D66" s="72">
        <v>7280</v>
      </c>
      <c r="E66" s="84"/>
      <c r="F66" s="65">
        <f t="shared" si="6"/>
        <v>13.1357684630739</v>
      </c>
      <c r="G66" s="65">
        <f t="shared" si="7"/>
        <v>11.8772854291417</v>
      </c>
      <c r="H66" s="66" t="str">
        <f t="shared" si="8"/>
        <v/>
      </c>
      <c r="I66" s="65">
        <f t="shared" si="9"/>
        <v>2317.17333333333</v>
      </c>
      <c r="J66" s="65">
        <f t="shared" si="10"/>
        <v>1983.50666666667</v>
      </c>
      <c r="K66" s="66" t="str">
        <f t="shared" si="11"/>
        <v/>
      </c>
      <c r="L66" s="67"/>
    </row>
    <row r="67" ht="23.1" customHeight="1" spans="1:12">
      <c r="A67" s="107"/>
      <c r="B67" s="62" t="s">
        <v>124</v>
      </c>
      <c r="C67" s="63">
        <v>225</v>
      </c>
      <c r="D67" s="72">
        <v>7280</v>
      </c>
      <c r="E67" s="84"/>
      <c r="F67" s="65">
        <f t="shared" si="6"/>
        <v>13.1357684630739</v>
      </c>
      <c r="G67" s="65">
        <f t="shared" si="7"/>
        <v>11.8772854291417</v>
      </c>
      <c r="H67" s="66" t="str">
        <f t="shared" si="8"/>
        <v/>
      </c>
      <c r="I67" s="65">
        <f t="shared" si="9"/>
        <v>2317.17333333333</v>
      </c>
      <c r="J67" s="65">
        <f t="shared" si="10"/>
        <v>1983.50666666667</v>
      </c>
      <c r="K67" s="66" t="str">
        <f t="shared" si="11"/>
        <v/>
      </c>
      <c r="L67" s="67"/>
    </row>
    <row r="68" ht="23.1" customHeight="1" spans="1:12">
      <c r="A68" s="107"/>
      <c r="B68" s="62" t="s">
        <v>125</v>
      </c>
      <c r="C68" s="63">
        <v>190</v>
      </c>
      <c r="D68" s="72">
        <v>7280</v>
      </c>
      <c r="E68" s="84"/>
      <c r="F68" s="65">
        <f t="shared" si="6"/>
        <v>12.4357684630739</v>
      </c>
      <c r="G68" s="65">
        <f t="shared" si="7"/>
        <v>11.8772854291417</v>
      </c>
      <c r="H68" s="66" t="str">
        <f t="shared" si="8"/>
        <v/>
      </c>
      <c r="I68" s="65">
        <f t="shared" si="9"/>
        <v>2181.06222222222</v>
      </c>
      <c r="J68" s="65">
        <f t="shared" si="10"/>
        <v>1983.50666666667</v>
      </c>
      <c r="K68" s="66" t="str">
        <f t="shared" si="11"/>
        <v/>
      </c>
      <c r="L68" s="67"/>
    </row>
    <row r="69" ht="23.1" customHeight="1" spans="1:12">
      <c r="A69" s="107"/>
      <c r="B69" s="62" t="s">
        <v>126</v>
      </c>
      <c r="C69" s="63">
        <v>235</v>
      </c>
      <c r="D69" s="72">
        <v>7280</v>
      </c>
      <c r="E69" s="84"/>
      <c r="F69" s="65">
        <f t="shared" si="6"/>
        <v>13.3357684630739</v>
      </c>
      <c r="G69" s="65">
        <f t="shared" si="7"/>
        <v>11.8772854291417</v>
      </c>
      <c r="H69" s="66" t="str">
        <f t="shared" si="8"/>
        <v/>
      </c>
      <c r="I69" s="65">
        <f t="shared" si="9"/>
        <v>2356.06222222222</v>
      </c>
      <c r="J69" s="65">
        <f t="shared" si="10"/>
        <v>1983.50666666667</v>
      </c>
      <c r="K69" s="66" t="str">
        <f t="shared" si="11"/>
        <v/>
      </c>
      <c r="L69" s="67">
        <v>14.4</v>
      </c>
    </row>
    <row r="70" ht="23.1" customHeight="1" spans="1:12">
      <c r="A70" s="107"/>
      <c r="B70" s="62" t="s">
        <v>127</v>
      </c>
      <c r="C70" s="63">
        <v>215</v>
      </c>
      <c r="D70" s="72">
        <v>7280</v>
      </c>
      <c r="E70" s="84"/>
      <c r="F70" s="65">
        <f t="shared" si="6"/>
        <v>12.9357684630739</v>
      </c>
      <c r="G70" s="65">
        <f t="shared" si="7"/>
        <v>11.8772854291417</v>
      </c>
      <c r="H70" s="66" t="str">
        <f t="shared" si="8"/>
        <v/>
      </c>
      <c r="I70" s="65">
        <f t="shared" si="9"/>
        <v>2278.28444444444</v>
      </c>
      <c r="J70" s="65">
        <f t="shared" si="10"/>
        <v>1983.50666666667</v>
      </c>
      <c r="K70" s="66" t="str">
        <f t="shared" si="11"/>
        <v/>
      </c>
      <c r="L70" s="67"/>
    </row>
    <row r="71" ht="23.1" customHeight="1" spans="1:12">
      <c r="A71" s="107"/>
      <c r="B71" s="62" t="s">
        <v>128</v>
      </c>
      <c r="C71" s="63">
        <v>235</v>
      </c>
      <c r="D71" s="72">
        <v>7280</v>
      </c>
      <c r="E71" s="84"/>
      <c r="F71" s="65">
        <f t="shared" si="6"/>
        <v>13.3357684630739</v>
      </c>
      <c r="G71" s="65">
        <f t="shared" si="7"/>
        <v>11.8772854291417</v>
      </c>
      <c r="H71" s="66" t="str">
        <f t="shared" si="8"/>
        <v/>
      </c>
      <c r="I71" s="65">
        <f t="shared" si="9"/>
        <v>2356.06222222222</v>
      </c>
      <c r="J71" s="65">
        <f t="shared" si="10"/>
        <v>1983.50666666667</v>
      </c>
      <c r="K71" s="66" t="str">
        <f t="shared" si="11"/>
        <v/>
      </c>
      <c r="L71" s="67"/>
    </row>
    <row r="72" ht="23.1" customHeight="1" spans="1:12">
      <c r="A72" s="107"/>
      <c r="B72" s="62" t="s">
        <v>129</v>
      </c>
      <c r="C72" s="63">
        <v>235</v>
      </c>
      <c r="D72" s="72">
        <v>7280</v>
      </c>
      <c r="E72" s="84"/>
      <c r="F72" s="65">
        <f t="shared" si="6"/>
        <v>13.3357684630739</v>
      </c>
      <c r="G72" s="65">
        <f t="shared" si="7"/>
        <v>11.8772854291417</v>
      </c>
      <c r="H72" s="66" t="str">
        <f t="shared" si="8"/>
        <v/>
      </c>
      <c r="I72" s="65">
        <f t="shared" si="9"/>
        <v>2356.06222222222</v>
      </c>
      <c r="J72" s="65">
        <f t="shared" si="10"/>
        <v>1983.50666666667</v>
      </c>
      <c r="K72" s="66" t="str">
        <f t="shared" si="11"/>
        <v/>
      </c>
      <c r="L72" s="67"/>
    </row>
    <row r="73" ht="23.1" customHeight="1" spans="1:12">
      <c r="A73" s="107" t="s">
        <v>130</v>
      </c>
      <c r="B73" s="62" t="s">
        <v>131</v>
      </c>
      <c r="C73" s="63">
        <v>255</v>
      </c>
      <c r="D73" s="72">
        <v>7980</v>
      </c>
      <c r="E73" s="84"/>
      <c r="F73" s="65">
        <f t="shared" si="6"/>
        <v>13.7357684630739</v>
      </c>
      <c r="G73" s="65">
        <f t="shared" si="7"/>
        <v>12.268502994012</v>
      </c>
      <c r="H73" s="66" t="str">
        <f t="shared" si="8"/>
        <v/>
      </c>
      <c r="I73" s="65">
        <f t="shared" si="9"/>
        <v>2433.84</v>
      </c>
      <c r="J73" s="65">
        <f t="shared" si="10"/>
        <v>2048.84</v>
      </c>
      <c r="K73" s="66" t="str">
        <f t="shared" si="11"/>
        <v/>
      </c>
      <c r="L73" s="67">
        <v>13.9</v>
      </c>
    </row>
    <row r="74" ht="23.1" customHeight="1" spans="1:12">
      <c r="A74" s="107"/>
      <c r="B74" s="62" t="s">
        <v>132</v>
      </c>
      <c r="C74" s="63">
        <v>265</v>
      </c>
      <c r="D74" s="72">
        <v>7980</v>
      </c>
      <c r="E74" s="84"/>
      <c r="F74" s="65">
        <f t="shared" si="6"/>
        <v>13.9357684630739</v>
      </c>
      <c r="G74" s="65">
        <f t="shared" si="7"/>
        <v>12.268502994012</v>
      </c>
      <c r="H74" s="66" t="str">
        <f t="shared" si="8"/>
        <v/>
      </c>
      <c r="I74" s="65">
        <f t="shared" si="9"/>
        <v>2472.72888888889</v>
      </c>
      <c r="J74" s="65">
        <f t="shared" si="10"/>
        <v>2048.84</v>
      </c>
      <c r="K74" s="66" t="str">
        <f t="shared" si="11"/>
        <v/>
      </c>
      <c r="L74" s="67"/>
    </row>
    <row r="75" ht="23.1" customHeight="1" spans="1:12">
      <c r="A75" s="107"/>
      <c r="B75" s="62" t="s">
        <v>133</v>
      </c>
      <c r="C75" s="63">
        <v>265</v>
      </c>
      <c r="D75" s="72">
        <v>7980</v>
      </c>
      <c r="E75" s="84"/>
      <c r="F75" s="65">
        <f t="shared" si="6"/>
        <v>13.9357684630739</v>
      </c>
      <c r="G75" s="65">
        <f t="shared" si="7"/>
        <v>12.268502994012</v>
      </c>
      <c r="H75" s="66" t="str">
        <f t="shared" si="8"/>
        <v/>
      </c>
      <c r="I75" s="65">
        <f t="shared" si="9"/>
        <v>2472.72888888889</v>
      </c>
      <c r="J75" s="65">
        <f t="shared" si="10"/>
        <v>2048.84</v>
      </c>
      <c r="K75" s="66" t="str">
        <f t="shared" si="11"/>
        <v/>
      </c>
      <c r="L75" s="67">
        <v>13.9</v>
      </c>
    </row>
    <row r="76" ht="23.1" customHeight="1" spans="1:12">
      <c r="A76" s="107"/>
      <c r="B76" s="62" t="s">
        <v>134</v>
      </c>
      <c r="C76" s="63">
        <v>265</v>
      </c>
      <c r="D76" s="72">
        <v>7980</v>
      </c>
      <c r="E76" s="84"/>
      <c r="F76" s="65">
        <f t="shared" si="6"/>
        <v>13.9357684630739</v>
      </c>
      <c r="G76" s="65">
        <f t="shared" si="7"/>
        <v>12.268502994012</v>
      </c>
      <c r="H76" s="66" t="str">
        <f t="shared" si="8"/>
        <v/>
      </c>
      <c r="I76" s="65">
        <f t="shared" si="9"/>
        <v>2472.72888888889</v>
      </c>
      <c r="J76" s="65">
        <f t="shared" si="10"/>
        <v>2048.84</v>
      </c>
      <c r="K76" s="66" t="str">
        <f t="shared" si="11"/>
        <v/>
      </c>
      <c r="L76" s="67">
        <v>13.9</v>
      </c>
    </row>
    <row r="77" ht="23.1" customHeight="1" spans="1:12">
      <c r="A77" s="107"/>
      <c r="B77" s="62" t="s">
        <v>135</v>
      </c>
      <c r="C77" s="63">
        <v>230</v>
      </c>
      <c r="D77" s="72">
        <v>7980</v>
      </c>
      <c r="E77" s="84"/>
      <c r="F77" s="65">
        <f t="shared" si="6"/>
        <v>13.2357684630739</v>
      </c>
      <c r="G77" s="65">
        <f t="shared" si="7"/>
        <v>12.268502994012</v>
      </c>
      <c r="H77" s="66" t="str">
        <f t="shared" si="8"/>
        <v/>
      </c>
      <c r="I77" s="65">
        <f t="shared" si="9"/>
        <v>2336.61777777778</v>
      </c>
      <c r="J77" s="65">
        <f t="shared" si="10"/>
        <v>2048.84</v>
      </c>
      <c r="K77" s="66" t="str">
        <f t="shared" si="11"/>
        <v/>
      </c>
      <c r="L77" s="67"/>
    </row>
    <row r="78" ht="23.1" customHeight="1" spans="1:12">
      <c r="A78" s="107"/>
      <c r="B78" s="62" t="s">
        <v>136</v>
      </c>
      <c r="C78" s="63">
        <v>230</v>
      </c>
      <c r="D78" s="72">
        <v>7980</v>
      </c>
      <c r="E78" s="84"/>
      <c r="F78" s="65">
        <f t="shared" ref="F78:F109" si="12">$J$12+(C78*$J$10/$L$10)</f>
        <v>13.2357684630739</v>
      </c>
      <c r="G78" s="65">
        <f t="shared" ref="G78:G109" si="13">IF(D78="","",($J$11-$H$7+D78)*$J$10/$H$12)</f>
        <v>12.268502994012</v>
      </c>
      <c r="H78" s="66" t="str">
        <f t="shared" ref="H78:H109" si="14">IF(E78="","",($J$11-$H$7+E78)*$J$10/$H$12)</f>
        <v/>
      </c>
      <c r="I78" s="65">
        <f t="shared" ref="I78:I109" si="15">$F$12+(C78*$J$10/$L$12)</f>
        <v>2336.61777777778</v>
      </c>
      <c r="J78" s="65">
        <f t="shared" ref="J78:J110" si="16">IF(D78="","",($J$11-$H$7+D78)*$J$10/$B$12)</f>
        <v>2048.84</v>
      </c>
      <c r="K78" s="66" t="str">
        <f t="shared" ref="K78:K110" si="17">IF(E78="","",($J$11-$H$7+E78)*$J$10/$B$12)</f>
        <v/>
      </c>
      <c r="L78" s="67"/>
    </row>
    <row r="79" ht="23.1" customHeight="1" spans="1:12">
      <c r="A79" s="107"/>
      <c r="B79" s="62" t="s">
        <v>137</v>
      </c>
      <c r="C79" s="63">
        <v>250</v>
      </c>
      <c r="D79" s="72">
        <v>7980</v>
      </c>
      <c r="E79" s="84"/>
      <c r="F79" s="65">
        <f t="shared" si="12"/>
        <v>13.6357684630739</v>
      </c>
      <c r="G79" s="65">
        <f t="shared" si="13"/>
        <v>12.268502994012</v>
      </c>
      <c r="H79" s="66" t="str">
        <f t="shared" si="14"/>
        <v/>
      </c>
      <c r="I79" s="65">
        <f t="shared" si="15"/>
        <v>2414.39555555556</v>
      </c>
      <c r="J79" s="65">
        <f t="shared" si="16"/>
        <v>2048.84</v>
      </c>
      <c r="K79" s="66" t="str">
        <f t="shared" si="17"/>
        <v/>
      </c>
      <c r="L79" s="67"/>
    </row>
    <row r="80" ht="23.1" customHeight="1" spans="1:12">
      <c r="A80" s="107"/>
      <c r="B80" s="62" t="s">
        <v>138</v>
      </c>
      <c r="C80" s="63">
        <v>250</v>
      </c>
      <c r="D80" s="72">
        <v>7980</v>
      </c>
      <c r="E80" s="84"/>
      <c r="F80" s="65">
        <f t="shared" si="12"/>
        <v>13.6357684630739</v>
      </c>
      <c r="G80" s="65">
        <f t="shared" si="13"/>
        <v>12.268502994012</v>
      </c>
      <c r="H80" s="66" t="str">
        <f t="shared" si="14"/>
        <v/>
      </c>
      <c r="I80" s="65">
        <f t="shared" si="15"/>
        <v>2414.39555555556</v>
      </c>
      <c r="J80" s="65">
        <f t="shared" si="16"/>
        <v>2048.84</v>
      </c>
      <c r="K80" s="66" t="str">
        <f t="shared" si="17"/>
        <v/>
      </c>
      <c r="L80" s="67"/>
    </row>
    <row r="81" ht="23.1" customHeight="1" spans="1:12">
      <c r="A81" s="107"/>
      <c r="B81" s="62" t="s">
        <v>139</v>
      </c>
      <c r="C81" s="63">
        <v>270</v>
      </c>
      <c r="D81" s="72">
        <v>7980</v>
      </c>
      <c r="E81" s="84"/>
      <c r="F81" s="65">
        <f t="shared" si="12"/>
        <v>14.0357684630739</v>
      </c>
      <c r="G81" s="65">
        <f t="shared" si="13"/>
        <v>12.268502994012</v>
      </c>
      <c r="H81" s="66" t="str">
        <f t="shared" si="14"/>
        <v/>
      </c>
      <c r="I81" s="65">
        <f t="shared" si="15"/>
        <v>2492.17333333333</v>
      </c>
      <c r="J81" s="65">
        <f t="shared" si="16"/>
        <v>2048.84</v>
      </c>
      <c r="K81" s="66" t="str">
        <f t="shared" si="17"/>
        <v/>
      </c>
      <c r="L81" s="67"/>
    </row>
    <row r="82" ht="23.1" customHeight="1" spans="1:12">
      <c r="A82" s="107"/>
      <c r="B82" s="62" t="s">
        <v>140</v>
      </c>
      <c r="C82" s="63">
        <v>250</v>
      </c>
      <c r="D82" s="72">
        <v>7980</v>
      </c>
      <c r="E82" s="84"/>
      <c r="F82" s="65">
        <f t="shared" si="12"/>
        <v>13.6357684630739</v>
      </c>
      <c r="G82" s="65">
        <f t="shared" si="13"/>
        <v>12.268502994012</v>
      </c>
      <c r="H82" s="66" t="str">
        <f t="shared" si="14"/>
        <v/>
      </c>
      <c r="I82" s="65">
        <f t="shared" si="15"/>
        <v>2414.39555555556</v>
      </c>
      <c r="J82" s="65">
        <f t="shared" si="16"/>
        <v>2048.84</v>
      </c>
      <c r="K82" s="66" t="str">
        <f t="shared" si="17"/>
        <v/>
      </c>
      <c r="L82" s="67"/>
    </row>
    <row r="83" ht="23.1" customHeight="1" spans="1:12">
      <c r="A83" s="107"/>
      <c r="B83" s="62" t="s">
        <v>141</v>
      </c>
      <c r="C83" s="63">
        <v>250</v>
      </c>
      <c r="D83" s="72">
        <v>7980</v>
      </c>
      <c r="E83" s="84"/>
      <c r="F83" s="65">
        <f t="shared" si="12"/>
        <v>13.6357684630739</v>
      </c>
      <c r="G83" s="65">
        <f t="shared" si="13"/>
        <v>12.268502994012</v>
      </c>
      <c r="H83" s="66" t="str">
        <f t="shared" si="14"/>
        <v/>
      </c>
      <c r="I83" s="65">
        <f t="shared" si="15"/>
        <v>2414.39555555556</v>
      </c>
      <c r="J83" s="65">
        <f t="shared" si="16"/>
        <v>2048.84</v>
      </c>
      <c r="K83" s="66" t="str">
        <f t="shared" si="17"/>
        <v/>
      </c>
      <c r="L83" s="67"/>
    </row>
    <row r="84" ht="23.1" customHeight="1" spans="1:12">
      <c r="A84" s="107"/>
      <c r="B84" s="62" t="s">
        <v>142</v>
      </c>
      <c r="C84" s="63">
        <v>295</v>
      </c>
      <c r="D84" s="72">
        <v>7980</v>
      </c>
      <c r="E84" s="84"/>
      <c r="F84" s="65">
        <f t="shared" si="12"/>
        <v>14.5357684630739</v>
      </c>
      <c r="G84" s="65">
        <f t="shared" si="13"/>
        <v>12.268502994012</v>
      </c>
      <c r="H84" s="66" t="str">
        <f t="shared" si="14"/>
        <v/>
      </c>
      <c r="I84" s="65">
        <f t="shared" si="15"/>
        <v>2589.39555555556</v>
      </c>
      <c r="J84" s="65">
        <f t="shared" si="16"/>
        <v>2048.84</v>
      </c>
      <c r="K84" s="66" t="str">
        <f t="shared" si="17"/>
        <v/>
      </c>
      <c r="L84" s="67"/>
    </row>
    <row r="85" ht="23.1" customHeight="1" spans="1:12">
      <c r="A85" s="107"/>
      <c r="B85" s="62" t="s">
        <v>143</v>
      </c>
      <c r="C85" s="63">
        <v>295</v>
      </c>
      <c r="D85" s="72">
        <v>7980</v>
      </c>
      <c r="E85" s="84"/>
      <c r="F85" s="65">
        <f t="shared" si="12"/>
        <v>14.5357684630739</v>
      </c>
      <c r="G85" s="65">
        <f t="shared" si="13"/>
        <v>12.268502994012</v>
      </c>
      <c r="H85" s="66" t="str">
        <f t="shared" si="14"/>
        <v/>
      </c>
      <c r="I85" s="65">
        <f t="shared" si="15"/>
        <v>2589.39555555556</v>
      </c>
      <c r="J85" s="65">
        <f t="shared" si="16"/>
        <v>2048.84</v>
      </c>
      <c r="K85" s="66" t="str">
        <f t="shared" si="17"/>
        <v/>
      </c>
      <c r="L85" s="67"/>
    </row>
    <row r="86" ht="23.1" customHeight="1" spans="1:12">
      <c r="A86" s="107"/>
      <c r="B86" s="62" t="s">
        <v>144</v>
      </c>
      <c r="C86" s="63">
        <v>280</v>
      </c>
      <c r="D86" s="72">
        <v>7980</v>
      </c>
      <c r="E86" s="84"/>
      <c r="F86" s="65">
        <f t="shared" si="12"/>
        <v>14.2357684630739</v>
      </c>
      <c r="G86" s="65">
        <f t="shared" si="13"/>
        <v>12.268502994012</v>
      </c>
      <c r="H86" s="66" t="str">
        <f t="shared" si="14"/>
        <v/>
      </c>
      <c r="I86" s="65">
        <f t="shared" si="15"/>
        <v>2531.06222222222</v>
      </c>
      <c r="J86" s="65">
        <f t="shared" si="16"/>
        <v>2048.84</v>
      </c>
      <c r="K86" s="66" t="str">
        <f t="shared" si="17"/>
        <v/>
      </c>
      <c r="L86" s="67">
        <v>13.9</v>
      </c>
    </row>
    <row r="87" ht="23.1" customHeight="1" spans="1:12">
      <c r="A87" s="108" t="s">
        <v>145</v>
      </c>
      <c r="B87" s="62" t="s">
        <v>146</v>
      </c>
      <c r="C87" s="63">
        <v>290</v>
      </c>
      <c r="D87" s="72">
        <v>8680</v>
      </c>
      <c r="E87" s="84"/>
      <c r="F87" s="65">
        <f t="shared" si="12"/>
        <v>14.4357684630739</v>
      </c>
      <c r="G87" s="65">
        <f t="shared" si="13"/>
        <v>12.6597205588822</v>
      </c>
      <c r="H87" s="66" t="str">
        <f t="shared" si="14"/>
        <v/>
      </c>
      <c r="I87" s="65">
        <f t="shared" si="15"/>
        <v>2569.95111111111</v>
      </c>
      <c r="J87" s="65">
        <f t="shared" si="16"/>
        <v>2114.17333333333</v>
      </c>
      <c r="K87" s="66" t="str">
        <f t="shared" si="17"/>
        <v/>
      </c>
      <c r="L87" s="67">
        <v>14.4</v>
      </c>
    </row>
    <row r="88" ht="23.1" customHeight="1" spans="1:12">
      <c r="A88" s="108"/>
      <c r="B88" s="62" t="s">
        <v>147</v>
      </c>
      <c r="C88" s="63">
        <v>290</v>
      </c>
      <c r="D88" s="72">
        <v>8680</v>
      </c>
      <c r="E88" s="84"/>
      <c r="F88" s="65">
        <f t="shared" si="12"/>
        <v>14.4357684630739</v>
      </c>
      <c r="G88" s="65">
        <f t="shared" si="13"/>
        <v>12.6597205588822</v>
      </c>
      <c r="H88" s="66" t="str">
        <f t="shared" si="14"/>
        <v/>
      </c>
      <c r="I88" s="65">
        <f t="shared" si="15"/>
        <v>2569.95111111111</v>
      </c>
      <c r="J88" s="65">
        <f t="shared" si="16"/>
        <v>2114.17333333333</v>
      </c>
      <c r="K88" s="66" t="str">
        <f t="shared" si="17"/>
        <v/>
      </c>
      <c r="L88" s="67"/>
    </row>
    <row r="89" ht="23.1" customHeight="1" spans="1:12">
      <c r="A89" s="108"/>
      <c r="B89" s="62" t="s">
        <v>148</v>
      </c>
      <c r="C89" s="63">
        <v>285</v>
      </c>
      <c r="D89" s="72">
        <v>8680</v>
      </c>
      <c r="E89" s="84"/>
      <c r="F89" s="65">
        <f t="shared" si="12"/>
        <v>14.3357684630739</v>
      </c>
      <c r="G89" s="65">
        <f t="shared" si="13"/>
        <v>12.6597205588822</v>
      </c>
      <c r="H89" s="66" t="str">
        <f t="shared" si="14"/>
        <v/>
      </c>
      <c r="I89" s="65">
        <f t="shared" si="15"/>
        <v>2550.50666666667</v>
      </c>
      <c r="J89" s="65">
        <f t="shared" si="16"/>
        <v>2114.17333333333</v>
      </c>
      <c r="K89" s="66" t="str">
        <f t="shared" si="17"/>
        <v/>
      </c>
      <c r="L89" s="67">
        <v>14.4</v>
      </c>
    </row>
    <row r="90" ht="23.1" customHeight="1" spans="1:12">
      <c r="A90" s="108"/>
      <c r="B90" s="62" t="s">
        <v>149</v>
      </c>
      <c r="C90" s="63">
        <v>285</v>
      </c>
      <c r="D90" s="72">
        <v>8680</v>
      </c>
      <c r="E90" s="84"/>
      <c r="F90" s="65">
        <f t="shared" si="12"/>
        <v>14.3357684630739</v>
      </c>
      <c r="G90" s="65">
        <f t="shared" si="13"/>
        <v>12.6597205588822</v>
      </c>
      <c r="H90" s="66" t="str">
        <f t="shared" si="14"/>
        <v/>
      </c>
      <c r="I90" s="65">
        <f t="shared" si="15"/>
        <v>2550.50666666667</v>
      </c>
      <c r="J90" s="65">
        <f t="shared" si="16"/>
        <v>2114.17333333333</v>
      </c>
      <c r="K90" s="66" t="str">
        <f t="shared" si="17"/>
        <v/>
      </c>
      <c r="L90" s="67"/>
    </row>
    <row r="91" ht="23.1" customHeight="1" spans="1:12">
      <c r="A91" s="108"/>
      <c r="B91" s="62" t="s">
        <v>150</v>
      </c>
      <c r="C91" s="63">
        <v>290</v>
      </c>
      <c r="D91" s="72">
        <v>8680</v>
      </c>
      <c r="E91" s="84"/>
      <c r="F91" s="65">
        <f t="shared" si="12"/>
        <v>14.4357684630739</v>
      </c>
      <c r="G91" s="65">
        <f t="shared" si="13"/>
        <v>12.6597205588822</v>
      </c>
      <c r="H91" s="66" t="str">
        <f t="shared" si="14"/>
        <v/>
      </c>
      <c r="I91" s="65">
        <f t="shared" si="15"/>
        <v>2569.95111111111</v>
      </c>
      <c r="J91" s="65">
        <f t="shared" si="16"/>
        <v>2114.17333333333</v>
      </c>
      <c r="K91" s="66" t="str">
        <f t="shared" si="17"/>
        <v/>
      </c>
      <c r="L91" s="67">
        <v>14.4</v>
      </c>
    </row>
    <row r="92" ht="23.1" customHeight="1" spans="1:12">
      <c r="A92" s="108"/>
      <c r="B92" s="62" t="s">
        <v>151</v>
      </c>
      <c r="C92" s="63">
        <v>290</v>
      </c>
      <c r="D92" s="72">
        <v>8680</v>
      </c>
      <c r="E92" s="84"/>
      <c r="F92" s="65">
        <f t="shared" si="12"/>
        <v>14.4357684630739</v>
      </c>
      <c r="G92" s="65">
        <f t="shared" si="13"/>
        <v>12.6597205588822</v>
      </c>
      <c r="H92" s="66" t="str">
        <f t="shared" si="14"/>
        <v/>
      </c>
      <c r="I92" s="65">
        <f t="shared" si="15"/>
        <v>2569.95111111111</v>
      </c>
      <c r="J92" s="65">
        <f t="shared" si="16"/>
        <v>2114.17333333333</v>
      </c>
      <c r="K92" s="66" t="str">
        <f t="shared" si="17"/>
        <v/>
      </c>
      <c r="L92" s="67"/>
    </row>
    <row r="93" ht="23.1" customHeight="1" spans="1:12">
      <c r="A93" s="108"/>
      <c r="B93" s="62" t="s">
        <v>152</v>
      </c>
      <c r="C93" s="63">
        <v>295</v>
      </c>
      <c r="D93" s="72">
        <v>8680</v>
      </c>
      <c r="E93" s="84"/>
      <c r="F93" s="65">
        <f t="shared" si="12"/>
        <v>14.5357684630739</v>
      </c>
      <c r="G93" s="65">
        <f t="shared" si="13"/>
        <v>12.6597205588822</v>
      </c>
      <c r="H93" s="66" t="str">
        <f t="shared" si="14"/>
        <v/>
      </c>
      <c r="I93" s="65">
        <f t="shared" si="15"/>
        <v>2589.39555555556</v>
      </c>
      <c r="J93" s="65">
        <f t="shared" si="16"/>
        <v>2114.17333333333</v>
      </c>
      <c r="K93" s="66" t="str">
        <f t="shared" si="17"/>
        <v/>
      </c>
      <c r="L93" s="67"/>
    </row>
    <row r="94" ht="23.1" customHeight="1" spans="1:12">
      <c r="A94" s="108"/>
      <c r="B94" s="62" t="s">
        <v>153</v>
      </c>
      <c r="C94" s="63">
        <v>295</v>
      </c>
      <c r="D94" s="72">
        <v>8680</v>
      </c>
      <c r="E94" s="84"/>
      <c r="F94" s="65">
        <f t="shared" si="12"/>
        <v>14.5357684630739</v>
      </c>
      <c r="G94" s="65">
        <f t="shared" si="13"/>
        <v>12.6597205588822</v>
      </c>
      <c r="H94" s="66" t="str">
        <f t="shared" si="14"/>
        <v/>
      </c>
      <c r="I94" s="65">
        <f t="shared" si="15"/>
        <v>2589.39555555556</v>
      </c>
      <c r="J94" s="65">
        <f t="shared" si="16"/>
        <v>2114.17333333333</v>
      </c>
      <c r="K94" s="66" t="str">
        <f t="shared" si="17"/>
        <v/>
      </c>
      <c r="L94" s="67">
        <v>14.4</v>
      </c>
    </row>
    <row r="95" ht="23.1" customHeight="1" spans="1:12">
      <c r="A95" s="108"/>
      <c r="B95" s="62" t="s">
        <v>154</v>
      </c>
      <c r="C95" s="63">
        <v>300</v>
      </c>
      <c r="D95" s="72">
        <v>8680</v>
      </c>
      <c r="E95" s="84"/>
      <c r="F95" s="65">
        <f t="shared" si="12"/>
        <v>14.6357684630739</v>
      </c>
      <c r="G95" s="65">
        <f t="shared" si="13"/>
        <v>12.6597205588822</v>
      </c>
      <c r="H95" s="66" t="str">
        <f t="shared" si="14"/>
        <v/>
      </c>
      <c r="I95" s="65">
        <f t="shared" si="15"/>
        <v>2608.84</v>
      </c>
      <c r="J95" s="65">
        <f t="shared" si="16"/>
        <v>2114.17333333333</v>
      </c>
      <c r="K95" s="66" t="str">
        <f t="shared" si="17"/>
        <v/>
      </c>
      <c r="L95" s="67"/>
    </row>
    <row r="96" ht="23.1" customHeight="1" spans="1:12">
      <c r="A96" s="108"/>
      <c r="B96" s="62" t="s">
        <v>155</v>
      </c>
      <c r="C96" s="63">
        <v>290</v>
      </c>
      <c r="D96" s="72">
        <v>8680</v>
      </c>
      <c r="E96" s="84"/>
      <c r="F96" s="65">
        <f t="shared" si="12"/>
        <v>14.4357684630739</v>
      </c>
      <c r="G96" s="65">
        <f t="shared" si="13"/>
        <v>12.6597205588822</v>
      </c>
      <c r="H96" s="66" t="str">
        <f t="shared" si="14"/>
        <v/>
      </c>
      <c r="I96" s="65">
        <f t="shared" si="15"/>
        <v>2569.95111111111</v>
      </c>
      <c r="J96" s="65">
        <f t="shared" si="16"/>
        <v>2114.17333333333</v>
      </c>
      <c r="K96" s="66" t="str">
        <f t="shared" si="17"/>
        <v/>
      </c>
      <c r="L96" s="67"/>
    </row>
    <row r="97" ht="23.1" customHeight="1" spans="1:12">
      <c r="A97" s="108"/>
      <c r="B97" s="62" t="s">
        <v>156</v>
      </c>
      <c r="C97" s="63">
        <v>275</v>
      </c>
      <c r="D97" s="72">
        <v>8680</v>
      </c>
      <c r="E97" s="84"/>
      <c r="F97" s="65">
        <f t="shared" si="12"/>
        <v>14.1357684630739</v>
      </c>
      <c r="G97" s="65">
        <f t="shared" si="13"/>
        <v>12.6597205588822</v>
      </c>
      <c r="H97" s="66" t="str">
        <f t="shared" si="14"/>
        <v/>
      </c>
      <c r="I97" s="65">
        <f t="shared" si="15"/>
        <v>2511.61777777778</v>
      </c>
      <c r="J97" s="65">
        <f t="shared" si="16"/>
        <v>2114.17333333333</v>
      </c>
      <c r="K97" s="66" t="str">
        <f t="shared" si="17"/>
        <v/>
      </c>
      <c r="L97" s="67">
        <v>14.4</v>
      </c>
    </row>
    <row r="98" ht="23.1" customHeight="1" spans="1:12">
      <c r="A98" s="108"/>
      <c r="B98" s="62" t="s">
        <v>157</v>
      </c>
      <c r="C98" s="63">
        <v>295</v>
      </c>
      <c r="D98" s="72">
        <v>8680</v>
      </c>
      <c r="E98" s="84"/>
      <c r="F98" s="65">
        <f t="shared" si="12"/>
        <v>14.5357684630739</v>
      </c>
      <c r="G98" s="65">
        <f t="shared" si="13"/>
        <v>12.6597205588822</v>
      </c>
      <c r="H98" s="66" t="str">
        <f t="shared" si="14"/>
        <v/>
      </c>
      <c r="I98" s="65">
        <f t="shared" si="15"/>
        <v>2589.39555555556</v>
      </c>
      <c r="J98" s="65">
        <f t="shared" si="16"/>
        <v>2114.17333333333</v>
      </c>
      <c r="K98" s="66" t="str">
        <f t="shared" si="17"/>
        <v/>
      </c>
      <c r="L98" s="67">
        <v>14.4</v>
      </c>
    </row>
    <row r="99" ht="23.1" customHeight="1" spans="1:12">
      <c r="A99" s="108"/>
      <c r="B99" s="62" t="s">
        <v>158</v>
      </c>
      <c r="C99" s="63">
        <v>290</v>
      </c>
      <c r="D99" s="72">
        <v>8680</v>
      </c>
      <c r="E99" s="84"/>
      <c r="F99" s="65">
        <f t="shared" si="12"/>
        <v>14.4357684630739</v>
      </c>
      <c r="G99" s="65">
        <f t="shared" si="13"/>
        <v>12.6597205588822</v>
      </c>
      <c r="H99" s="66" t="str">
        <f t="shared" si="14"/>
        <v/>
      </c>
      <c r="I99" s="65">
        <f t="shared" si="15"/>
        <v>2569.95111111111</v>
      </c>
      <c r="J99" s="65">
        <f t="shared" si="16"/>
        <v>2114.17333333333</v>
      </c>
      <c r="K99" s="66" t="str">
        <f t="shared" si="17"/>
        <v/>
      </c>
      <c r="L99" s="67">
        <v>14.4</v>
      </c>
    </row>
    <row r="100" ht="23.1" customHeight="1" spans="1:12">
      <c r="A100" s="108"/>
      <c r="B100" s="62" t="s">
        <v>159</v>
      </c>
      <c r="C100" s="63">
        <v>290</v>
      </c>
      <c r="D100" s="72">
        <v>8680</v>
      </c>
      <c r="E100" s="84"/>
      <c r="F100" s="65">
        <f t="shared" si="12"/>
        <v>14.4357684630739</v>
      </c>
      <c r="G100" s="65">
        <f t="shared" si="13"/>
        <v>12.6597205588822</v>
      </c>
      <c r="H100" s="66" t="str">
        <f t="shared" si="14"/>
        <v/>
      </c>
      <c r="I100" s="65">
        <f t="shared" si="15"/>
        <v>2569.95111111111</v>
      </c>
      <c r="J100" s="65">
        <f t="shared" si="16"/>
        <v>2114.17333333333</v>
      </c>
      <c r="K100" s="66" t="str">
        <f t="shared" si="17"/>
        <v/>
      </c>
      <c r="L100" s="67"/>
    </row>
    <row r="101" ht="23.1" customHeight="1" spans="1:12">
      <c r="A101" s="108"/>
      <c r="B101" s="62" t="s">
        <v>160</v>
      </c>
      <c r="C101" s="63">
        <v>290</v>
      </c>
      <c r="D101" s="72">
        <v>8680</v>
      </c>
      <c r="E101" s="84"/>
      <c r="F101" s="65">
        <f t="shared" si="12"/>
        <v>14.4357684630739</v>
      </c>
      <c r="G101" s="65">
        <f t="shared" si="13"/>
        <v>12.6597205588822</v>
      </c>
      <c r="H101" s="66" t="str">
        <f t="shared" si="14"/>
        <v/>
      </c>
      <c r="I101" s="65">
        <f t="shared" si="15"/>
        <v>2569.95111111111</v>
      </c>
      <c r="J101" s="65">
        <f t="shared" si="16"/>
        <v>2114.17333333333</v>
      </c>
      <c r="K101" s="66" t="str">
        <f t="shared" si="17"/>
        <v/>
      </c>
      <c r="L101" s="67"/>
    </row>
    <row r="102" ht="23.1" customHeight="1" spans="1:12">
      <c r="A102" s="108"/>
      <c r="B102" s="62" t="s">
        <v>161</v>
      </c>
      <c r="C102" s="63">
        <v>290</v>
      </c>
      <c r="D102" s="72">
        <v>8680</v>
      </c>
      <c r="E102" s="84"/>
      <c r="F102" s="65">
        <f t="shared" si="12"/>
        <v>14.4357684630739</v>
      </c>
      <c r="G102" s="65">
        <f t="shared" si="13"/>
        <v>12.6597205588822</v>
      </c>
      <c r="H102" s="66" t="str">
        <f t="shared" si="14"/>
        <v/>
      </c>
      <c r="I102" s="65">
        <f t="shared" si="15"/>
        <v>2569.95111111111</v>
      </c>
      <c r="J102" s="65">
        <f t="shared" si="16"/>
        <v>2114.17333333333</v>
      </c>
      <c r="K102" s="66" t="str">
        <f t="shared" si="17"/>
        <v/>
      </c>
      <c r="L102" s="67"/>
    </row>
    <row r="103" ht="23.1" customHeight="1" spans="1:12">
      <c r="A103" s="108"/>
      <c r="B103" s="62" t="s">
        <v>162</v>
      </c>
      <c r="C103" s="63">
        <v>290</v>
      </c>
      <c r="D103" s="72">
        <v>8680</v>
      </c>
      <c r="E103" s="84"/>
      <c r="F103" s="65">
        <f t="shared" si="12"/>
        <v>14.4357684630739</v>
      </c>
      <c r="G103" s="65">
        <f t="shared" si="13"/>
        <v>12.6597205588822</v>
      </c>
      <c r="H103" s="66" t="str">
        <f t="shared" si="14"/>
        <v/>
      </c>
      <c r="I103" s="65">
        <f t="shared" si="15"/>
        <v>2569.95111111111</v>
      </c>
      <c r="J103" s="65">
        <f t="shared" si="16"/>
        <v>2114.17333333333</v>
      </c>
      <c r="K103" s="66" t="str">
        <f t="shared" si="17"/>
        <v/>
      </c>
      <c r="L103" s="67"/>
    </row>
    <row r="104" ht="23.1" customHeight="1" spans="1:12">
      <c r="A104" s="108"/>
      <c r="B104" s="62" t="s">
        <v>163</v>
      </c>
      <c r="C104" s="63">
        <v>320</v>
      </c>
      <c r="D104" s="72">
        <v>8680</v>
      </c>
      <c r="E104" s="84"/>
      <c r="F104" s="65">
        <f t="shared" si="12"/>
        <v>15.0357684630739</v>
      </c>
      <c r="G104" s="65">
        <f t="shared" si="13"/>
        <v>12.6597205588822</v>
      </c>
      <c r="H104" s="66" t="str">
        <f t="shared" si="14"/>
        <v/>
      </c>
      <c r="I104" s="65">
        <f t="shared" si="15"/>
        <v>2686.61777777778</v>
      </c>
      <c r="J104" s="65">
        <f t="shared" si="16"/>
        <v>2114.17333333333</v>
      </c>
      <c r="K104" s="66" t="str">
        <f t="shared" si="17"/>
        <v/>
      </c>
      <c r="L104" s="67"/>
    </row>
    <row r="105" ht="23.1" customHeight="1" spans="1:12">
      <c r="A105" s="108"/>
      <c r="B105" s="62" t="s">
        <v>164</v>
      </c>
      <c r="C105" s="63">
        <v>290</v>
      </c>
      <c r="D105" s="72">
        <v>8680</v>
      </c>
      <c r="E105" s="84"/>
      <c r="F105" s="65">
        <f t="shared" si="12"/>
        <v>14.4357684630739</v>
      </c>
      <c r="G105" s="65">
        <f t="shared" si="13"/>
        <v>12.6597205588822</v>
      </c>
      <c r="H105" s="66" t="str">
        <f t="shared" si="14"/>
        <v/>
      </c>
      <c r="I105" s="65">
        <f t="shared" si="15"/>
        <v>2569.95111111111</v>
      </c>
      <c r="J105" s="65">
        <f t="shared" si="16"/>
        <v>2114.17333333333</v>
      </c>
      <c r="K105" s="66" t="str">
        <f t="shared" si="17"/>
        <v/>
      </c>
      <c r="L105" s="67"/>
    </row>
    <row r="106" ht="23.1" customHeight="1" spans="1:12">
      <c r="A106" s="108"/>
      <c r="B106" s="62" t="s">
        <v>165</v>
      </c>
      <c r="C106" s="63">
        <v>350</v>
      </c>
      <c r="D106" s="72">
        <v>8680</v>
      </c>
      <c r="E106" s="84"/>
      <c r="F106" s="65">
        <f t="shared" si="12"/>
        <v>15.6357684630739</v>
      </c>
      <c r="G106" s="65">
        <f t="shared" si="13"/>
        <v>12.6597205588822</v>
      </c>
      <c r="H106" s="66" t="str">
        <f t="shared" si="14"/>
        <v/>
      </c>
      <c r="I106" s="65">
        <f t="shared" si="15"/>
        <v>2803.28444444444</v>
      </c>
      <c r="J106" s="65">
        <f t="shared" si="16"/>
        <v>2114.17333333333</v>
      </c>
      <c r="K106" s="66" t="str">
        <f t="shared" si="17"/>
        <v/>
      </c>
      <c r="L106" s="67"/>
    </row>
    <row r="107" ht="23.1" customHeight="1" spans="1:12">
      <c r="A107" s="108"/>
      <c r="B107" s="62" t="s">
        <v>166</v>
      </c>
      <c r="C107" s="63">
        <v>350</v>
      </c>
      <c r="D107" s="72">
        <v>8680</v>
      </c>
      <c r="E107" s="84"/>
      <c r="F107" s="65">
        <f t="shared" si="12"/>
        <v>15.6357684630739</v>
      </c>
      <c r="G107" s="65">
        <f t="shared" si="13"/>
        <v>12.6597205588822</v>
      </c>
      <c r="H107" s="66" t="str">
        <f t="shared" si="14"/>
        <v/>
      </c>
      <c r="I107" s="65">
        <f t="shared" si="15"/>
        <v>2803.28444444444</v>
      </c>
      <c r="J107" s="65">
        <f t="shared" si="16"/>
        <v>2114.17333333333</v>
      </c>
      <c r="K107" s="66" t="str">
        <f t="shared" si="17"/>
        <v/>
      </c>
      <c r="L107" s="67">
        <v>14.4</v>
      </c>
    </row>
    <row r="108" ht="23.1" customHeight="1" spans="1:12">
      <c r="A108" s="108"/>
      <c r="B108" s="62" t="s">
        <v>167</v>
      </c>
      <c r="C108" s="63">
        <v>315</v>
      </c>
      <c r="D108" s="72">
        <v>8680</v>
      </c>
      <c r="E108" s="84"/>
      <c r="F108" s="65">
        <f t="shared" si="12"/>
        <v>14.9357684630739</v>
      </c>
      <c r="G108" s="65">
        <f t="shared" si="13"/>
        <v>12.6597205588822</v>
      </c>
      <c r="H108" s="66" t="str">
        <f t="shared" si="14"/>
        <v/>
      </c>
      <c r="I108" s="65">
        <f t="shared" si="15"/>
        <v>2667.17333333333</v>
      </c>
      <c r="J108" s="65">
        <f t="shared" si="16"/>
        <v>2114.17333333333</v>
      </c>
      <c r="K108" s="66" t="str">
        <f t="shared" si="17"/>
        <v/>
      </c>
      <c r="L108" s="67"/>
    </row>
    <row r="109" ht="23.1" customHeight="1" spans="1:12">
      <c r="A109" s="108"/>
      <c r="B109" s="62" t="s">
        <v>168</v>
      </c>
      <c r="C109" s="63"/>
      <c r="D109" s="72">
        <v>8680</v>
      </c>
      <c r="E109" s="84"/>
      <c r="F109" s="65">
        <f t="shared" si="12"/>
        <v>8.63576846307385</v>
      </c>
      <c r="G109" s="65">
        <f t="shared" si="13"/>
        <v>12.6597205588822</v>
      </c>
      <c r="H109" s="66" t="str">
        <f t="shared" si="14"/>
        <v/>
      </c>
      <c r="I109" s="65">
        <f t="shared" si="15"/>
        <v>1442.17333333333</v>
      </c>
      <c r="J109" s="65">
        <f t="shared" si="16"/>
        <v>2114.17333333333</v>
      </c>
      <c r="K109" s="66" t="str">
        <f t="shared" si="17"/>
        <v/>
      </c>
      <c r="L109" s="67"/>
    </row>
    <row r="110" ht="23.1" customHeight="1" spans="1:12">
      <c r="A110" s="107" t="s">
        <v>169</v>
      </c>
      <c r="B110" s="62" t="s">
        <v>170</v>
      </c>
      <c r="C110" s="63">
        <v>60</v>
      </c>
      <c r="D110" s="72"/>
      <c r="E110" s="84"/>
      <c r="F110" s="65">
        <f t="shared" ref="F110:F141" si="18">$J$12+(C110*$J$10/$L$10)</f>
        <v>9.83576846307385</v>
      </c>
      <c r="G110" s="65" t="str">
        <f t="shared" ref="G110:G141" si="19">IF(D110="","",($J$11-$H$7+D110)*$J$10/$H$12)</f>
        <v/>
      </c>
      <c r="H110" s="66" t="str">
        <f t="shared" ref="H110:H141" si="20">IF(E110="","",($J$11-$H$7+E110)*$J$10/$H$12)</f>
        <v/>
      </c>
      <c r="I110" s="65">
        <f t="shared" ref="I110:I141" si="21">$F$12+(C110*$J$10/$L$12)</f>
        <v>1675.50666666667</v>
      </c>
      <c r="J110" s="65" t="str">
        <f t="shared" si="16"/>
        <v/>
      </c>
      <c r="K110" s="66" t="str">
        <f t="shared" si="17"/>
        <v/>
      </c>
      <c r="L110" s="67"/>
    </row>
    <row r="111" ht="23.1" customHeight="1" spans="1:12">
      <c r="A111" s="107"/>
      <c r="B111" s="62" t="s">
        <v>171</v>
      </c>
      <c r="C111" s="63">
        <v>60</v>
      </c>
      <c r="D111" s="72"/>
      <c r="E111" s="84"/>
      <c r="F111" s="65">
        <f t="shared" si="18"/>
        <v>9.83576846307385</v>
      </c>
      <c r="G111" s="65" t="str">
        <f t="shared" si="19"/>
        <v/>
      </c>
      <c r="H111" s="66" t="str">
        <f t="shared" si="20"/>
        <v/>
      </c>
      <c r="I111" s="65">
        <f t="shared" si="21"/>
        <v>1675.50666666667</v>
      </c>
      <c r="J111" s="65"/>
      <c r="K111" s="66"/>
      <c r="L111" s="67">
        <v>10.9</v>
      </c>
    </row>
    <row r="112" ht="23.1" customHeight="1" spans="1:12">
      <c r="A112" s="107"/>
      <c r="B112" s="62" t="s">
        <v>172</v>
      </c>
      <c r="C112" s="63">
        <v>55</v>
      </c>
      <c r="D112" s="72"/>
      <c r="E112" s="84"/>
      <c r="F112" s="65">
        <f t="shared" si="18"/>
        <v>9.73576846307385</v>
      </c>
      <c r="G112" s="65" t="str">
        <f t="shared" si="19"/>
        <v/>
      </c>
      <c r="H112" s="66" t="str">
        <f t="shared" si="20"/>
        <v/>
      </c>
      <c r="I112" s="65">
        <f t="shared" si="21"/>
        <v>1656.06222222222</v>
      </c>
      <c r="J112" s="65" t="str">
        <f t="shared" ref="J112:J143" si="22">IF(D112="","",($J$11-$H$7+D112)*$J$10/$B$12)</f>
        <v/>
      </c>
      <c r="K112" s="66" t="str">
        <f t="shared" ref="K112:K143" si="23">IF(E112="","",($J$11-$H$7+E112)*$J$10/$B$12)</f>
        <v/>
      </c>
      <c r="L112" s="67">
        <v>10.9</v>
      </c>
    </row>
    <row r="113" ht="23.1" customHeight="1" spans="1:12">
      <c r="A113" s="107"/>
      <c r="B113" s="62" t="s">
        <v>173</v>
      </c>
      <c r="C113" s="63">
        <v>190</v>
      </c>
      <c r="D113" s="72"/>
      <c r="E113" s="84"/>
      <c r="F113" s="65">
        <f t="shared" si="18"/>
        <v>12.4357684630739</v>
      </c>
      <c r="G113" s="65" t="str">
        <f t="shared" si="19"/>
        <v/>
      </c>
      <c r="H113" s="66" t="str">
        <f t="shared" si="20"/>
        <v/>
      </c>
      <c r="I113" s="65">
        <f t="shared" si="21"/>
        <v>2181.06222222222</v>
      </c>
      <c r="J113" s="65" t="str">
        <f t="shared" si="22"/>
        <v/>
      </c>
      <c r="K113" s="66" t="str">
        <f t="shared" si="23"/>
        <v/>
      </c>
      <c r="L113" s="67"/>
    </row>
    <row r="114" ht="23.1" customHeight="1" spans="1:12">
      <c r="A114" s="107"/>
      <c r="B114" s="62" t="s">
        <v>174</v>
      </c>
      <c r="C114" s="63">
        <v>180</v>
      </c>
      <c r="D114" s="72"/>
      <c r="E114" s="84"/>
      <c r="F114" s="65">
        <f t="shared" si="18"/>
        <v>12.2357684630739</v>
      </c>
      <c r="G114" s="65" t="str">
        <f t="shared" si="19"/>
        <v/>
      </c>
      <c r="H114" s="66" t="str">
        <f t="shared" si="20"/>
        <v/>
      </c>
      <c r="I114" s="65">
        <f t="shared" si="21"/>
        <v>2142.17333333333</v>
      </c>
      <c r="J114" s="65" t="str">
        <f t="shared" si="22"/>
        <v/>
      </c>
      <c r="K114" s="66" t="str">
        <f t="shared" si="23"/>
        <v/>
      </c>
      <c r="L114" s="67"/>
    </row>
    <row r="115" ht="23.1" customHeight="1" spans="1:12">
      <c r="A115" s="107"/>
      <c r="B115" s="62" t="s">
        <v>175</v>
      </c>
      <c r="C115" s="63">
        <v>160</v>
      </c>
      <c r="D115" s="72"/>
      <c r="E115" s="84"/>
      <c r="F115" s="65">
        <f t="shared" si="18"/>
        <v>11.8357684630739</v>
      </c>
      <c r="G115" s="65" t="str">
        <f t="shared" si="19"/>
        <v/>
      </c>
      <c r="H115" s="66" t="str">
        <f t="shared" si="20"/>
        <v/>
      </c>
      <c r="I115" s="65">
        <f t="shared" si="21"/>
        <v>2064.39555555556</v>
      </c>
      <c r="J115" s="65" t="str">
        <f t="shared" si="22"/>
        <v/>
      </c>
      <c r="K115" s="66" t="str">
        <f t="shared" si="23"/>
        <v/>
      </c>
      <c r="L115" s="67">
        <v>13.2</v>
      </c>
    </row>
    <row r="116" ht="23.1" customHeight="1" spans="1:12">
      <c r="A116" s="107"/>
      <c r="B116" s="62" t="s">
        <v>176</v>
      </c>
      <c r="C116" s="63">
        <v>235</v>
      </c>
      <c r="D116" s="72"/>
      <c r="E116" s="84"/>
      <c r="F116" s="65">
        <f t="shared" si="18"/>
        <v>13.3357684630739</v>
      </c>
      <c r="G116" s="65" t="str">
        <f t="shared" si="19"/>
        <v/>
      </c>
      <c r="H116" s="66" t="str">
        <f t="shared" si="20"/>
        <v/>
      </c>
      <c r="I116" s="65">
        <f t="shared" si="21"/>
        <v>2356.06222222222</v>
      </c>
      <c r="J116" s="65" t="str">
        <f t="shared" si="22"/>
        <v/>
      </c>
      <c r="K116" s="66" t="str">
        <f t="shared" si="23"/>
        <v/>
      </c>
      <c r="L116" s="67"/>
    </row>
    <row r="117" ht="23.1" customHeight="1" spans="1:12">
      <c r="A117" s="107"/>
      <c r="B117" s="62" t="s">
        <v>177</v>
      </c>
      <c r="C117" s="63">
        <v>215</v>
      </c>
      <c r="D117" s="72"/>
      <c r="E117" s="84"/>
      <c r="F117" s="65">
        <f t="shared" si="18"/>
        <v>12.9357684630739</v>
      </c>
      <c r="G117" s="65" t="str">
        <f t="shared" si="19"/>
        <v/>
      </c>
      <c r="H117" s="66" t="str">
        <f t="shared" si="20"/>
        <v/>
      </c>
      <c r="I117" s="65">
        <f t="shared" si="21"/>
        <v>2278.28444444444</v>
      </c>
      <c r="J117" s="65" t="str">
        <f t="shared" si="22"/>
        <v/>
      </c>
      <c r="K117" s="66" t="str">
        <f t="shared" si="23"/>
        <v/>
      </c>
      <c r="L117" s="67"/>
    </row>
    <row r="118" ht="23.1" customHeight="1" spans="1:12">
      <c r="A118" s="107"/>
      <c r="B118" s="62" t="s">
        <v>178</v>
      </c>
      <c r="C118" s="63">
        <v>230</v>
      </c>
      <c r="D118" s="72"/>
      <c r="E118" s="84"/>
      <c r="F118" s="65">
        <f t="shared" si="18"/>
        <v>13.2357684630739</v>
      </c>
      <c r="G118" s="65" t="str">
        <f t="shared" si="19"/>
        <v/>
      </c>
      <c r="H118" s="66" t="str">
        <f t="shared" si="20"/>
        <v/>
      </c>
      <c r="I118" s="65">
        <f t="shared" si="21"/>
        <v>2336.61777777778</v>
      </c>
      <c r="J118" s="65" t="str">
        <f t="shared" si="22"/>
        <v/>
      </c>
      <c r="K118" s="66" t="str">
        <f t="shared" si="23"/>
        <v/>
      </c>
      <c r="L118" s="67"/>
    </row>
    <row r="119" ht="23.1" customHeight="1" spans="1:12">
      <c r="A119" s="107"/>
      <c r="B119" s="62" t="s">
        <v>179</v>
      </c>
      <c r="C119" s="63">
        <v>240</v>
      </c>
      <c r="D119" s="72"/>
      <c r="E119" s="84"/>
      <c r="F119" s="65">
        <f t="shared" si="18"/>
        <v>13.4357684630739</v>
      </c>
      <c r="G119" s="65" t="str">
        <f t="shared" si="19"/>
        <v/>
      </c>
      <c r="H119" s="66" t="str">
        <f t="shared" si="20"/>
        <v/>
      </c>
      <c r="I119" s="65">
        <f t="shared" si="21"/>
        <v>2375.50666666667</v>
      </c>
      <c r="J119" s="65" t="str">
        <f t="shared" si="22"/>
        <v/>
      </c>
      <c r="K119" s="66" t="str">
        <f t="shared" si="23"/>
        <v/>
      </c>
      <c r="L119" s="67"/>
    </row>
    <row r="120" ht="23.1" customHeight="1" spans="1:12">
      <c r="A120" s="107"/>
      <c r="B120" s="62" t="s">
        <v>180</v>
      </c>
      <c r="C120" s="63">
        <v>295</v>
      </c>
      <c r="D120" s="72"/>
      <c r="E120" s="84"/>
      <c r="F120" s="65">
        <f t="shared" si="18"/>
        <v>14.5357684630739</v>
      </c>
      <c r="G120" s="65" t="str">
        <f t="shared" si="19"/>
        <v/>
      </c>
      <c r="H120" s="66" t="str">
        <f t="shared" si="20"/>
        <v/>
      </c>
      <c r="I120" s="65">
        <f t="shared" si="21"/>
        <v>2589.39555555556</v>
      </c>
      <c r="J120" s="65" t="str">
        <f t="shared" si="22"/>
        <v/>
      </c>
      <c r="K120" s="66" t="str">
        <f t="shared" si="23"/>
        <v/>
      </c>
      <c r="L120" s="67"/>
    </row>
    <row r="121" ht="23.1" customHeight="1" spans="1:12">
      <c r="A121" s="107"/>
      <c r="B121" s="62" t="s">
        <v>181</v>
      </c>
      <c r="C121" s="63">
        <v>295</v>
      </c>
      <c r="D121" s="72"/>
      <c r="E121" s="84"/>
      <c r="F121" s="65">
        <f t="shared" si="18"/>
        <v>14.5357684630739</v>
      </c>
      <c r="G121" s="65" t="str">
        <f t="shared" si="19"/>
        <v/>
      </c>
      <c r="H121" s="66" t="str">
        <f t="shared" si="20"/>
        <v/>
      </c>
      <c r="I121" s="65">
        <f t="shared" si="21"/>
        <v>2589.39555555556</v>
      </c>
      <c r="J121" s="65" t="str">
        <f t="shared" si="22"/>
        <v/>
      </c>
      <c r="K121" s="66" t="str">
        <f t="shared" si="23"/>
        <v/>
      </c>
      <c r="L121" s="67"/>
    </row>
    <row r="122" ht="23.1" customHeight="1" spans="1:12">
      <c r="A122" s="107"/>
      <c r="B122" s="62" t="s">
        <v>182</v>
      </c>
      <c r="C122" s="63">
        <v>295</v>
      </c>
      <c r="D122" s="72"/>
      <c r="E122" s="84"/>
      <c r="F122" s="65">
        <f t="shared" si="18"/>
        <v>14.5357684630739</v>
      </c>
      <c r="G122" s="65" t="str">
        <f t="shared" si="19"/>
        <v/>
      </c>
      <c r="H122" s="66" t="str">
        <f t="shared" si="20"/>
        <v/>
      </c>
      <c r="I122" s="65">
        <f t="shared" si="21"/>
        <v>2589.39555555556</v>
      </c>
      <c r="J122" s="65" t="str">
        <f t="shared" si="22"/>
        <v/>
      </c>
      <c r="K122" s="66" t="str">
        <f t="shared" si="23"/>
        <v/>
      </c>
      <c r="L122" s="67"/>
    </row>
    <row r="123" ht="23.1" customHeight="1" spans="1:12">
      <c r="A123" s="107"/>
      <c r="B123" s="62" t="s">
        <v>183</v>
      </c>
      <c r="C123" s="63">
        <v>65</v>
      </c>
      <c r="D123" s="72"/>
      <c r="E123" s="84"/>
      <c r="F123" s="65">
        <f t="shared" si="18"/>
        <v>9.93576846307385</v>
      </c>
      <c r="G123" s="65" t="str">
        <f t="shared" si="19"/>
        <v/>
      </c>
      <c r="H123" s="66" t="str">
        <f t="shared" si="20"/>
        <v/>
      </c>
      <c r="I123" s="65">
        <f t="shared" si="21"/>
        <v>1694.95111111111</v>
      </c>
      <c r="J123" s="65" t="str">
        <f t="shared" si="22"/>
        <v/>
      </c>
      <c r="K123" s="66" t="str">
        <f t="shared" si="23"/>
        <v/>
      </c>
      <c r="L123" s="67"/>
    </row>
    <row r="124" ht="23.1" customHeight="1" spans="1:12">
      <c r="A124" s="107"/>
      <c r="B124" s="62" t="s">
        <v>184</v>
      </c>
      <c r="C124" s="63">
        <v>260</v>
      </c>
      <c r="D124" s="72"/>
      <c r="E124" s="84"/>
      <c r="F124" s="65">
        <f t="shared" si="18"/>
        <v>13.8357684630739</v>
      </c>
      <c r="G124" s="65" t="str">
        <f t="shared" si="19"/>
        <v/>
      </c>
      <c r="H124" s="66" t="str">
        <f t="shared" si="20"/>
        <v/>
      </c>
      <c r="I124" s="65">
        <f t="shared" si="21"/>
        <v>2453.28444444444</v>
      </c>
      <c r="J124" s="65" t="str">
        <f t="shared" si="22"/>
        <v/>
      </c>
      <c r="K124" s="66" t="str">
        <f t="shared" si="23"/>
        <v/>
      </c>
      <c r="L124" s="67"/>
    </row>
    <row r="125" ht="23.1" customHeight="1" spans="1:12">
      <c r="A125" s="107"/>
      <c r="B125" s="62" t="s">
        <v>185</v>
      </c>
      <c r="C125" s="63">
        <v>320</v>
      </c>
      <c r="D125" s="72"/>
      <c r="E125" s="84"/>
      <c r="F125" s="65">
        <f t="shared" si="18"/>
        <v>15.0357684630739</v>
      </c>
      <c r="G125" s="65" t="str">
        <f t="shared" si="19"/>
        <v/>
      </c>
      <c r="H125" s="66" t="str">
        <f t="shared" si="20"/>
        <v/>
      </c>
      <c r="I125" s="65">
        <f t="shared" si="21"/>
        <v>2686.61777777778</v>
      </c>
      <c r="J125" s="65" t="str">
        <f t="shared" si="22"/>
        <v/>
      </c>
      <c r="K125" s="66" t="str">
        <f t="shared" si="23"/>
        <v/>
      </c>
      <c r="L125" s="67"/>
    </row>
    <row r="126" ht="23.1" customHeight="1" spans="1:12">
      <c r="A126" s="107"/>
      <c r="B126" s="62" t="s">
        <v>186</v>
      </c>
      <c r="C126" s="63">
        <v>270</v>
      </c>
      <c r="D126" s="72"/>
      <c r="E126" s="84"/>
      <c r="F126" s="65">
        <f t="shared" si="18"/>
        <v>14.0357684630739</v>
      </c>
      <c r="G126" s="65" t="str">
        <f t="shared" si="19"/>
        <v/>
      </c>
      <c r="H126" s="66" t="str">
        <f t="shared" si="20"/>
        <v/>
      </c>
      <c r="I126" s="65">
        <f t="shared" si="21"/>
        <v>2492.17333333333</v>
      </c>
      <c r="J126" s="65" t="str">
        <f t="shared" si="22"/>
        <v/>
      </c>
      <c r="K126" s="66" t="str">
        <f t="shared" si="23"/>
        <v/>
      </c>
      <c r="L126" s="67"/>
    </row>
    <row r="127" ht="23.1" customHeight="1" spans="1:12">
      <c r="A127" s="107"/>
      <c r="B127" s="62" t="s">
        <v>187</v>
      </c>
      <c r="C127" s="63">
        <v>290</v>
      </c>
      <c r="D127" s="72"/>
      <c r="E127" s="84"/>
      <c r="F127" s="65">
        <f t="shared" si="18"/>
        <v>14.4357684630739</v>
      </c>
      <c r="G127" s="65" t="str">
        <f t="shared" si="19"/>
        <v/>
      </c>
      <c r="H127" s="66" t="str">
        <f t="shared" si="20"/>
        <v/>
      </c>
      <c r="I127" s="65">
        <f t="shared" si="21"/>
        <v>2569.95111111111</v>
      </c>
      <c r="J127" s="65" t="str">
        <f t="shared" si="22"/>
        <v/>
      </c>
      <c r="K127" s="66" t="str">
        <f t="shared" si="23"/>
        <v/>
      </c>
      <c r="L127" s="67"/>
    </row>
    <row r="128" ht="23.1" customHeight="1" spans="1:12">
      <c r="A128" s="107"/>
      <c r="B128" s="62" t="s">
        <v>188</v>
      </c>
      <c r="C128" s="63">
        <v>85</v>
      </c>
      <c r="D128" s="72"/>
      <c r="E128" s="84">
        <v>2430</v>
      </c>
      <c r="F128" s="65">
        <f t="shared" si="18"/>
        <v>10.3357684630739</v>
      </c>
      <c r="G128" s="65" t="str">
        <f t="shared" si="19"/>
        <v/>
      </c>
      <c r="H128" s="66">
        <f t="shared" si="20"/>
        <v>9.16670658682635</v>
      </c>
      <c r="I128" s="65">
        <f t="shared" si="21"/>
        <v>1772.72888888889</v>
      </c>
      <c r="J128" s="65" t="str">
        <f t="shared" si="22"/>
        <v/>
      </c>
      <c r="K128" s="66">
        <f t="shared" si="23"/>
        <v>1530.84</v>
      </c>
      <c r="L128" s="67"/>
    </row>
    <row r="129" ht="23.1" customHeight="1" spans="1:12">
      <c r="A129" s="107"/>
      <c r="B129" s="62" t="s">
        <v>189</v>
      </c>
      <c r="C129" s="63">
        <v>50</v>
      </c>
      <c r="D129" s="72"/>
      <c r="E129" s="84">
        <v>1680</v>
      </c>
      <c r="F129" s="65">
        <f t="shared" si="18"/>
        <v>9.63576846307385</v>
      </c>
      <c r="G129" s="65" t="str">
        <f t="shared" si="19"/>
        <v/>
      </c>
      <c r="H129" s="66">
        <f t="shared" si="20"/>
        <v>8.74754491017964</v>
      </c>
      <c r="I129" s="65">
        <f t="shared" si="21"/>
        <v>1636.61777777778</v>
      </c>
      <c r="J129" s="65" t="str">
        <f t="shared" si="22"/>
        <v/>
      </c>
      <c r="K129" s="66">
        <f t="shared" si="23"/>
        <v>1460.84</v>
      </c>
      <c r="L129" s="67"/>
    </row>
    <row r="130" ht="23.1" customHeight="1" spans="1:12">
      <c r="A130" s="107"/>
      <c r="B130" s="62" t="s">
        <v>190</v>
      </c>
      <c r="C130" s="63">
        <v>85</v>
      </c>
      <c r="D130" s="72"/>
      <c r="E130" s="84"/>
      <c r="F130" s="65">
        <f t="shared" si="18"/>
        <v>10.3357684630739</v>
      </c>
      <c r="G130" s="65" t="str">
        <f t="shared" si="19"/>
        <v/>
      </c>
      <c r="H130" s="66" t="str">
        <f t="shared" si="20"/>
        <v/>
      </c>
      <c r="I130" s="65">
        <f t="shared" si="21"/>
        <v>1772.72888888889</v>
      </c>
      <c r="J130" s="65" t="str">
        <f t="shared" si="22"/>
        <v/>
      </c>
      <c r="K130" s="66" t="str">
        <f t="shared" si="23"/>
        <v/>
      </c>
      <c r="L130" s="67"/>
    </row>
    <row r="131" ht="23.1" customHeight="1" spans="1:12">
      <c r="A131" s="107"/>
      <c r="B131" s="62" t="s">
        <v>191</v>
      </c>
      <c r="C131" s="63">
        <v>85</v>
      </c>
      <c r="D131" s="72"/>
      <c r="E131" s="84">
        <v>2750</v>
      </c>
      <c r="F131" s="65">
        <f t="shared" si="18"/>
        <v>10.3357684630739</v>
      </c>
      <c r="G131" s="65" t="str">
        <f t="shared" si="19"/>
        <v/>
      </c>
      <c r="H131" s="66">
        <f t="shared" si="20"/>
        <v>9.34554890219561</v>
      </c>
      <c r="I131" s="65">
        <f t="shared" si="21"/>
        <v>1772.72888888889</v>
      </c>
      <c r="J131" s="65" t="str">
        <f t="shared" si="22"/>
        <v/>
      </c>
      <c r="K131" s="66">
        <f t="shared" si="23"/>
        <v>1560.70666666667</v>
      </c>
      <c r="L131" s="67"/>
    </row>
    <row r="132" ht="23.1" customHeight="1" spans="1:12">
      <c r="A132" s="107"/>
      <c r="B132" s="62" t="s">
        <v>192</v>
      </c>
      <c r="C132" s="63">
        <v>85</v>
      </c>
      <c r="D132" s="72"/>
      <c r="E132" s="84"/>
      <c r="F132" s="65">
        <f t="shared" si="18"/>
        <v>10.3357684630739</v>
      </c>
      <c r="G132" s="65" t="str">
        <f t="shared" si="19"/>
        <v/>
      </c>
      <c r="H132" s="66" t="str">
        <f t="shared" si="20"/>
        <v/>
      </c>
      <c r="I132" s="65">
        <f t="shared" si="21"/>
        <v>1772.72888888889</v>
      </c>
      <c r="J132" s="65" t="str">
        <f t="shared" si="22"/>
        <v/>
      </c>
      <c r="K132" s="66" t="str">
        <f t="shared" si="23"/>
        <v/>
      </c>
      <c r="L132" s="67"/>
    </row>
    <row r="133" ht="23.1" customHeight="1" spans="1:12">
      <c r="A133" s="107"/>
      <c r="B133" s="62" t="s">
        <v>193</v>
      </c>
      <c r="C133" s="63">
        <v>85</v>
      </c>
      <c r="D133" s="72"/>
      <c r="E133" s="84"/>
      <c r="F133" s="65">
        <f t="shared" si="18"/>
        <v>10.3357684630739</v>
      </c>
      <c r="G133" s="65" t="str">
        <f t="shared" si="19"/>
        <v/>
      </c>
      <c r="H133" s="66" t="str">
        <f t="shared" si="20"/>
        <v/>
      </c>
      <c r="I133" s="65">
        <f t="shared" si="21"/>
        <v>1772.72888888889</v>
      </c>
      <c r="J133" s="65" t="str">
        <f t="shared" si="22"/>
        <v/>
      </c>
      <c r="K133" s="66" t="str">
        <f t="shared" si="23"/>
        <v/>
      </c>
      <c r="L133" s="67"/>
    </row>
    <row r="134" ht="23.1" customHeight="1" spans="1:12">
      <c r="A134" s="107"/>
      <c r="B134" s="62" t="s">
        <v>194</v>
      </c>
      <c r="C134" s="63">
        <v>85</v>
      </c>
      <c r="D134" s="72"/>
      <c r="E134" s="84"/>
      <c r="F134" s="65">
        <f t="shared" si="18"/>
        <v>10.3357684630739</v>
      </c>
      <c r="G134" s="65" t="str">
        <f t="shared" si="19"/>
        <v/>
      </c>
      <c r="H134" s="66" t="str">
        <f t="shared" si="20"/>
        <v/>
      </c>
      <c r="I134" s="65">
        <f t="shared" si="21"/>
        <v>1772.72888888889</v>
      </c>
      <c r="J134" s="65" t="str">
        <f t="shared" si="22"/>
        <v/>
      </c>
      <c r="K134" s="66" t="str">
        <f t="shared" si="23"/>
        <v/>
      </c>
      <c r="L134" s="67"/>
    </row>
    <row r="135" ht="23.1" customHeight="1" spans="1:12">
      <c r="A135" s="107"/>
      <c r="B135" s="62" t="s">
        <v>195</v>
      </c>
      <c r="C135" s="63">
        <v>170</v>
      </c>
      <c r="D135" s="72"/>
      <c r="E135" s="84"/>
      <c r="F135" s="65">
        <f t="shared" si="18"/>
        <v>12.0357684630739</v>
      </c>
      <c r="G135" s="65" t="str">
        <f t="shared" si="19"/>
        <v/>
      </c>
      <c r="H135" s="66" t="str">
        <f t="shared" si="20"/>
        <v/>
      </c>
      <c r="I135" s="65">
        <f t="shared" si="21"/>
        <v>2103.28444444444</v>
      </c>
      <c r="J135" s="65" t="str">
        <f t="shared" si="22"/>
        <v/>
      </c>
      <c r="K135" s="66" t="str">
        <f t="shared" si="23"/>
        <v/>
      </c>
      <c r="L135" s="67"/>
    </row>
    <row r="136" ht="23.1" customHeight="1" spans="1:12">
      <c r="A136" s="107"/>
      <c r="B136" s="62" t="s">
        <v>196</v>
      </c>
      <c r="C136" s="63">
        <v>195</v>
      </c>
      <c r="D136" s="72"/>
      <c r="E136" s="84"/>
      <c r="F136" s="65">
        <f t="shared" si="18"/>
        <v>12.5357684630739</v>
      </c>
      <c r="G136" s="65" t="str">
        <f t="shared" si="19"/>
        <v/>
      </c>
      <c r="H136" s="66" t="str">
        <f t="shared" si="20"/>
        <v/>
      </c>
      <c r="I136" s="65">
        <f t="shared" si="21"/>
        <v>2200.50666666667</v>
      </c>
      <c r="J136" s="65" t="str">
        <f t="shared" si="22"/>
        <v/>
      </c>
      <c r="K136" s="66" t="str">
        <f t="shared" si="23"/>
        <v/>
      </c>
      <c r="L136" s="67"/>
    </row>
    <row r="137" ht="23.1" customHeight="1" spans="1:12">
      <c r="A137" s="107"/>
      <c r="B137" s="62" t="s">
        <v>197</v>
      </c>
      <c r="C137" s="63">
        <v>195</v>
      </c>
      <c r="D137" s="72"/>
      <c r="E137" s="84"/>
      <c r="F137" s="65">
        <f t="shared" si="18"/>
        <v>12.5357684630739</v>
      </c>
      <c r="G137" s="65" t="str">
        <f t="shared" si="19"/>
        <v/>
      </c>
      <c r="H137" s="66" t="str">
        <f t="shared" si="20"/>
        <v/>
      </c>
      <c r="I137" s="65">
        <f t="shared" si="21"/>
        <v>2200.50666666667</v>
      </c>
      <c r="J137" s="65" t="str">
        <f t="shared" si="22"/>
        <v/>
      </c>
      <c r="K137" s="66" t="str">
        <f t="shared" si="23"/>
        <v/>
      </c>
      <c r="L137" s="67"/>
    </row>
    <row r="138" ht="23.1" customHeight="1" spans="1:12">
      <c r="A138" s="107"/>
      <c r="B138" s="62" t="s">
        <v>198</v>
      </c>
      <c r="C138" s="63">
        <v>205</v>
      </c>
      <c r="D138" s="72"/>
      <c r="E138" s="84"/>
      <c r="F138" s="65">
        <f t="shared" si="18"/>
        <v>12.7357684630739</v>
      </c>
      <c r="G138" s="65" t="str">
        <f t="shared" si="19"/>
        <v/>
      </c>
      <c r="H138" s="66" t="str">
        <f t="shared" si="20"/>
        <v/>
      </c>
      <c r="I138" s="65">
        <f t="shared" si="21"/>
        <v>2239.39555555556</v>
      </c>
      <c r="J138" s="65" t="str">
        <f t="shared" si="22"/>
        <v/>
      </c>
      <c r="K138" s="66" t="str">
        <f t="shared" si="23"/>
        <v/>
      </c>
      <c r="L138" s="67"/>
    </row>
    <row r="139" ht="23.1" customHeight="1" spans="1:12">
      <c r="A139" s="107"/>
      <c r="B139" s="62" t="s">
        <v>199</v>
      </c>
      <c r="C139" s="63">
        <v>195</v>
      </c>
      <c r="D139" s="72"/>
      <c r="E139" s="84"/>
      <c r="F139" s="65">
        <f t="shared" si="18"/>
        <v>12.5357684630739</v>
      </c>
      <c r="G139" s="65" t="str">
        <f t="shared" si="19"/>
        <v/>
      </c>
      <c r="H139" s="66" t="str">
        <f t="shared" si="20"/>
        <v/>
      </c>
      <c r="I139" s="65">
        <f t="shared" si="21"/>
        <v>2200.50666666667</v>
      </c>
      <c r="J139" s="65" t="str">
        <f t="shared" si="22"/>
        <v/>
      </c>
      <c r="K139" s="66" t="str">
        <f t="shared" si="23"/>
        <v/>
      </c>
      <c r="L139" s="67"/>
    </row>
    <row r="140" ht="23.1" customHeight="1" spans="1:12">
      <c r="A140" s="107"/>
      <c r="B140" s="62" t="s">
        <v>200</v>
      </c>
      <c r="C140" s="63">
        <v>185</v>
      </c>
      <c r="D140" s="72"/>
      <c r="E140" s="84"/>
      <c r="F140" s="65">
        <f t="shared" si="18"/>
        <v>12.3357684630739</v>
      </c>
      <c r="G140" s="65" t="str">
        <f t="shared" si="19"/>
        <v/>
      </c>
      <c r="H140" s="66" t="str">
        <f t="shared" si="20"/>
        <v/>
      </c>
      <c r="I140" s="65">
        <f t="shared" si="21"/>
        <v>2161.61777777778</v>
      </c>
      <c r="J140" s="65" t="str">
        <f t="shared" si="22"/>
        <v/>
      </c>
      <c r="K140" s="66" t="str">
        <f t="shared" si="23"/>
        <v/>
      </c>
      <c r="L140" s="67"/>
    </row>
    <row r="141" ht="23.1" customHeight="1" spans="1:12">
      <c r="A141" s="107"/>
      <c r="B141" s="62" t="s">
        <v>201</v>
      </c>
      <c r="C141" s="63">
        <v>215</v>
      </c>
      <c r="D141" s="72"/>
      <c r="E141" s="84"/>
      <c r="F141" s="65">
        <f t="shared" si="18"/>
        <v>12.9357684630739</v>
      </c>
      <c r="G141" s="65" t="str">
        <f t="shared" si="19"/>
        <v/>
      </c>
      <c r="H141" s="66" t="str">
        <f t="shared" si="20"/>
        <v/>
      </c>
      <c r="I141" s="65">
        <f t="shared" si="21"/>
        <v>2278.28444444444</v>
      </c>
      <c r="J141" s="65" t="str">
        <f t="shared" si="22"/>
        <v/>
      </c>
      <c r="K141" s="66" t="str">
        <f t="shared" si="23"/>
        <v/>
      </c>
      <c r="L141" s="67"/>
    </row>
    <row r="142" ht="23.1" customHeight="1" spans="1:12">
      <c r="A142" s="107"/>
      <c r="B142" s="62" t="s">
        <v>202</v>
      </c>
      <c r="C142" s="63">
        <v>215</v>
      </c>
      <c r="D142" s="72"/>
      <c r="E142" s="84"/>
      <c r="F142" s="65">
        <f t="shared" ref="F142:F173" si="24">$J$12+(C142*$J$10/$L$10)</f>
        <v>12.9357684630739</v>
      </c>
      <c r="G142" s="65" t="str">
        <f t="shared" ref="G142:G173" si="25">IF(D142="","",($J$11-$H$7+D142)*$J$10/$H$12)</f>
        <v/>
      </c>
      <c r="H142" s="66" t="str">
        <f t="shared" ref="H142:H173" si="26">IF(E142="","",($J$11-$H$7+E142)*$J$10/$H$12)</f>
        <v/>
      </c>
      <c r="I142" s="65">
        <f t="shared" ref="I142:I173" si="27">$F$12+(C142*$J$10/$L$12)</f>
        <v>2278.28444444444</v>
      </c>
      <c r="J142" s="65" t="str">
        <f t="shared" si="22"/>
        <v/>
      </c>
      <c r="K142" s="66" t="str">
        <f t="shared" si="23"/>
        <v/>
      </c>
      <c r="L142" s="67"/>
    </row>
    <row r="143" ht="23.1" customHeight="1" spans="1:12">
      <c r="A143" s="107"/>
      <c r="B143" s="62" t="s">
        <v>203</v>
      </c>
      <c r="C143" s="63">
        <v>215</v>
      </c>
      <c r="D143" s="72"/>
      <c r="E143" s="84"/>
      <c r="F143" s="65">
        <f t="shared" si="24"/>
        <v>12.9357684630739</v>
      </c>
      <c r="G143" s="65" t="str">
        <f t="shared" si="25"/>
        <v/>
      </c>
      <c r="H143" s="66" t="str">
        <f t="shared" si="26"/>
        <v/>
      </c>
      <c r="I143" s="65">
        <f t="shared" si="27"/>
        <v>2278.28444444444</v>
      </c>
      <c r="J143" s="65" t="str">
        <f t="shared" si="22"/>
        <v/>
      </c>
      <c r="K143" s="66" t="str">
        <f t="shared" si="23"/>
        <v/>
      </c>
      <c r="L143" s="67"/>
    </row>
    <row r="144" ht="23.1" customHeight="1" spans="1:12">
      <c r="A144" s="107"/>
      <c r="B144" s="62" t="s">
        <v>204</v>
      </c>
      <c r="C144" s="63">
        <v>215</v>
      </c>
      <c r="D144" s="72"/>
      <c r="E144" s="84"/>
      <c r="F144" s="65">
        <f t="shared" si="24"/>
        <v>12.9357684630739</v>
      </c>
      <c r="G144" s="65" t="str">
        <f t="shared" si="25"/>
        <v/>
      </c>
      <c r="H144" s="66" t="str">
        <f t="shared" si="26"/>
        <v/>
      </c>
      <c r="I144" s="65">
        <f t="shared" si="27"/>
        <v>2278.28444444444</v>
      </c>
      <c r="J144" s="65" t="str">
        <f t="shared" ref="J144:J175" si="28">IF(D144="","",($J$11-$H$7+D144)*$J$10/$B$12)</f>
        <v/>
      </c>
      <c r="K144" s="66" t="str">
        <f t="shared" ref="K144:K175" si="29">IF(E144="","",($J$11-$H$7+E144)*$J$10/$B$12)</f>
        <v/>
      </c>
      <c r="L144" s="67"/>
    </row>
    <row r="145" ht="23.1" customHeight="1" spans="1:12">
      <c r="A145" s="107"/>
      <c r="B145" s="62" t="s">
        <v>205</v>
      </c>
      <c r="C145" s="63">
        <v>230</v>
      </c>
      <c r="D145" s="72"/>
      <c r="E145" s="84"/>
      <c r="F145" s="65">
        <f t="shared" si="24"/>
        <v>13.2357684630739</v>
      </c>
      <c r="G145" s="65" t="str">
        <f t="shared" si="25"/>
        <v/>
      </c>
      <c r="H145" s="66" t="str">
        <f t="shared" si="26"/>
        <v/>
      </c>
      <c r="I145" s="65">
        <f t="shared" si="27"/>
        <v>2336.61777777778</v>
      </c>
      <c r="J145" s="65" t="str">
        <f t="shared" si="28"/>
        <v/>
      </c>
      <c r="K145" s="66" t="str">
        <f t="shared" si="29"/>
        <v/>
      </c>
      <c r="L145" s="67"/>
    </row>
    <row r="146" ht="23.1" customHeight="1" spans="1:12">
      <c r="A146" s="107"/>
      <c r="B146" s="62" t="s">
        <v>206</v>
      </c>
      <c r="C146" s="63">
        <v>215</v>
      </c>
      <c r="D146" s="72"/>
      <c r="E146" s="84"/>
      <c r="F146" s="65">
        <f t="shared" si="24"/>
        <v>12.9357684630739</v>
      </c>
      <c r="G146" s="65" t="str">
        <f t="shared" si="25"/>
        <v/>
      </c>
      <c r="H146" s="66" t="str">
        <f t="shared" si="26"/>
        <v/>
      </c>
      <c r="I146" s="65">
        <f t="shared" si="27"/>
        <v>2278.28444444444</v>
      </c>
      <c r="J146" s="65" t="str">
        <f t="shared" si="28"/>
        <v/>
      </c>
      <c r="K146" s="66" t="str">
        <f t="shared" si="29"/>
        <v/>
      </c>
      <c r="L146" s="67"/>
    </row>
    <row r="147" ht="23.1" customHeight="1" spans="1:12">
      <c r="A147" s="107"/>
      <c r="B147" s="62" t="s">
        <v>207</v>
      </c>
      <c r="C147" s="63">
        <v>240</v>
      </c>
      <c r="D147" s="72"/>
      <c r="E147" s="84"/>
      <c r="F147" s="65">
        <f t="shared" si="24"/>
        <v>13.4357684630739</v>
      </c>
      <c r="G147" s="65" t="str">
        <f t="shared" si="25"/>
        <v/>
      </c>
      <c r="H147" s="66" t="str">
        <f t="shared" si="26"/>
        <v/>
      </c>
      <c r="I147" s="65">
        <f t="shared" si="27"/>
        <v>2375.50666666667</v>
      </c>
      <c r="J147" s="65" t="str">
        <f t="shared" si="28"/>
        <v/>
      </c>
      <c r="K147" s="66" t="str">
        <f t="shared" si="29"/>
        <v/>
      </c>
      <c r="L147" s="67"/>
    </row>
    <row r="148" ht="23.1" customHeight="1" spans="1:12">
      <c r="A148" s="107"/>
      <c r="B148" s="62" t="s">
        <v>208</v>
      </c>
      <c r="C148" s="63">
        <v>225</v>
      </c>
      <c r="D148" s="72"/>
      <c r="E148" s="84"/>
      <c r="F148" s="65">
        <f t="shared" si="24"/>
        <v>13.1357684630739</v>
      </c>
      <c r="G148" s="65" t="str">
        <f t="shared" si="25"/>
        <v/>
      </c>
      <c r="H148" s="66" t="str">
        <f t="shared" si="26"/>
        <v/>
      </c>
      <c r="I148" s="65">
        <f t="shared" si="27"/>
        <v>2317.17333333333</v>
      </c>
      <c r="J148" s="65" t="str">
        <f t="shared" si="28"/>
        <v/>
      </c>
      <c r="K148" s="66" t="str">
        <f t="shared" si="29"/>
        <v/>
      </c>
      <c r="L148" s="67"/>
    </row>
    <row r="149" ht="23.1" customHeight="1" spans="1:12">
      <c r="A149" s="107"/>
      <c r="B149" s="62" t="s">
        <v>209</v>
      </c>
      <c r="C149" s="63">
        <v>235</v>
      </c>
      <c r="D149" s="72"/>
      <c r="E149" s="84"/>
      <c r="F149" s="65">
        <f t="shared" si="24"/>
        <v>13.3357684630739</v>
      </c>
      <c r="G149" s="65" t="str">
        <f t="shared" si="25"/>
        <v/>
      </c>
      <c r="H149" s="66" t="str">
        <f t="shared" si="26"/>
        <v/>
      </c>
      <c r="I149" s="65">
        <f t="shared" si="27"/>
        <v>2356.06222222222</v>
      </c>
      <c r="J149" s="65" t="str">
        <f t="shared" si="28"/>
        <v/>
      </c>
      <c r="K149" s="66" t="str">
        <f t="shared" si="29"/>
        <v/>
      </c>
      <c r="L149" s="67"/>
    </row>
    <row r="150" ht="23.1" customHeight="1" spans="1:12">
      <c r="A150" s="107"/>
      <c r="B150" s="62" t="s">
        <v>210</v>
      </c>
      <c r="C150" s="63">
        <v>220</v>
      </c>
      <c r="D150" s="72"/>
      <c r="E150" s="84"/>
      <c r="F150" s="65">
        <f t="shared" si="24"/>
        <v>13.0357684630739</v>
      </c>
      <c r="G150" s="65" t="str">
        <f t="shared" si="25"/>
        <v/>
      </c>
      <c r="H150" s="66" t="str">
        <f t="shared" si="26"/>
        <v/>
      </c>
      <c r="I150" s="65">
        <f t="shared" si="27"/>
        <v>2297.72888888889</v>
      </c>
      <c r="J150" s="65" t="str">
        <f t="shared" si="28"/>
        <v/>
      </c>
      <c r="K150" s="66" t="str">
        <f t="shared" si="29"/>
        <v/>
      </c>
      <c r="L150" s="67"/>
    </row>
    <row r="151" ht="23.1" customHeight="1" spans="1:12">
      <c r="A151" s="107"/>
      <c r="B151" s="62" t="s">
        <v>211</v>
      </c>
      <c r="C151" s="63">
        <v>225</v>
      </c>
      <c r="D151" s="72"/>
      <c r="E151" s="84"/>
      <c r="F151" s="65">
        <f t="shared" si="24"/>
        <v>13.1357684630739</v>
      </c>
      <c r="G151" s="65" t="str">
        <f t="shared" si="25"/>
        <v/>
      </c>
      <c r="H151" s="66" t="str">
        <f t="shared" si="26"/>
        <v/>
      </c>
      <c r="I151" s="65">
        <f t="shared" si="27"/>
        <v>2317.17333333333</v>
      </c>
      <c r="J151" s="65" t="str">
        <f t="shared" si="28"/>
        <v/>
      </c>
      <c r="K151" s="66" t="str">
        <f t="shared" si="29"/>
        <v/>
      </c>
      <c r="L151" s="67"/>
    </row>
    <row r="152" ht="23.1" customHeight="1" spans="1:12">
      <c r="A152" s="107"/>
      <c r="B152" s="62" t="s">
        <v>212</v>
      </c>
      <c r="C152" s="63">
        <v>255</v>
      </c>
      <c r="D152" s="72"/>
      <c r="E152" s="84"/>
      <c r="F152" s="65">
        <f t="shared" si="24"/>
        <v>13.7357684630739</v>
      </c>
      <c r="G152" s="65" t="str">
        <f t="shared" si="25"/>
        <v/>
      </c>
      <c r="H152" s="66" t="str">
        <f t="shared" si="26"/>
        <v/>
      </c>
      <c r="I152" s="65">
        <f t="shared" si="27"/>
        <v>2433.84</v>
      </c>
      <c r="J152" s="65" t="str">
        <f t="shared" si="28"/>
        <v/>
      </c>
      <c r="K152" s="66" t="str">
        <f t="shared" si="29"/>
        <v/>
      </c>
      <c r="L152" s="67"/>
    </row>
    <row r="153" ht="23.1" customHeight="1" spans="1:12">
      <c r="A153" s="107"/>
      <c r="B153" s="62" t="s">
        <v>213</v>
      </c>
      <c r="C153" s="63">
        <v>240</v>
      </c>
      <c r="D153" s="72"/>
      <c r="E153" s="84"/>
      <c r="F153" s="65">
        <f t="shared" si="24"/>
        <v>13.4357684630739</v>
      </c>
      <c r="G153" s="65" t="str">
        <f t="shared" si="25"/>
        <v/>
      </c>
      <c r="H153" s="66" t="str">
        <f t="shared" si="26"/>
        <v/>
      </c>
      <c r="I153" s="65">
        <f t="shared" si="27"/>
        <v>2375.50666666667</v>
      </c>
      <c r="J153" s="65" t="str">
        <f t="shared" si="28"/>
        <v/>
      </c>
      <c r="K153" s="66" t="str">
        <f t="shared" si="29"/>
        <v/>
      </c>
      <c r="L153" s="67"/>
    </row>
    <row r="154" ht="23.1" customHeight="1" spans="1:12">
      <c r="A154" s="107"/>
      <c r="B154" s="62" t="s">
        <v>214</v>
      </c>
      <c r="C154" s="63">
        <v>245</v>
      </c>
      <c r="D154" s="72"/>
      <c r="E154" s="84"/>
      <c r="F154" s="65">
        <f t="shared" si="24"/>
        <v>13.5357684630739</v>
      </c>
      <c r="G154" s="65" t="str">
        <f t="shared" si="25"/>
        <v/>
      </c>
      <c r="H154" s="66" t="str">
        <f t="shared" si="26"/>
        <v/>
      </c>
      <c r="I154" s="65">
        <f t="shared" si="27"/>
        <v>2394.95111111111</v>
      </c>
      <c r="J154" s="65" t="str">
        <f t="shared" si="28"/>
        <v/>
      </c>
      <c r="K154" s="66" t="str">
        <f t="shared" si="29"/>
        <v/>
      </c>
      <c r="L154" s="67"/>
    </row>
    <row r="155" ht="23.1" customHeight="1" spans="1:12">
      <c r="A155" s="107"/>
      <c r="B155" s="62" t="s">
        <v>215</v>
      </c>
      <c r="C155" s="63">
        <v>250</v>
      </c>
      <c r="D155" s="72"/>
      <c r="E155" s="84"/>
      <c r="F155" s="65">
        <f t="shared" si="24"/>
        <v>13.6357684630739</v>
      </c>
      <c r="G155" s="65" t="str">
        <f t="shared" si="25"/>
        <v/>
      </c>
      <c r="H155" s="66" t="str">
        <f t="shared" si="26"/>
        <v/>
      </c>
      <c r="I155" s="65">
        <f t="shared" si="27"/>
        <v>2414.39555555556</v>
      </c>
      <c r="J155" s="65" t="str">
        <f t="shared" si="28"/>
        <v/>
      </c>
      <c r="K155" s="66" t="str">
        <f t="shared" si="29"/>
        <v/>
      </c>
      <c r="L155" s="67"/>
    </row>
    <row r="156" ht="23.1" customHeight="1" spans="1:12">
      <c r="A156" s="107"/>
      <c r="B156" s="62" t="s">
        <v>216</v>
      </c>
      <c r="C156" s="63">
        <v>250</v>
      </c>
      <c r="D156" s="72"/>
      <c r="E156" s="84"/>
      <c r="F156" s="65">
        <f t="shared" si="24"/>
        <v>13.6357684630739</v>
      </c>
      <c r="G156" s="65" t="str">
        <f t="shared" si="25"/>
        <v/>
      </c>
      <c r="H156" s="66" t="str">
        <f t="shared" si="26"/>
        <v/>
      </c>
      <c r="I156" s="65">
        <f t="shared" si="27"/>
        <v>2414.39555555556</v>
      </c>
      <c r="J156" s="65" t="str">
        <f t="shared" si="28"/>
        <v/>
      </c>
      <c r="K156" s="66" t="str">
        <f t="shared" si="29"/>
        <v/>
      </c>
      <c r="L156" s="67"/>
    </row>
    <row r="157" ht="23.1" customHeight="1" spans="1:12">
      <c r="A157" s="107"/>
      <c r="B157" s="62" t="s">
        <v>217</v>
      </c>
      <c r="C157" s="63">
        <v>225</v>
      </c>
      <c r="D157" s="72"/>
      <c r="E157" s="84"/>
      <c r="F157" s="65">
        <f t="shared" si="24"/>
        <v>13.1357684630739</v>
      </c>
      <c r="G157" s="65" t="str">
        <f t="shared" si="25"/>
        <v/>
      </c>
      <c r="H157" s="66" t="str">
        <f t="shared" si="26"/>
        <v/>
      </c>
      <c r="I157" s="65">
        <f t="shared" si="27"/>
        <v>2317.17333333333</v>
      </c>
      <c r="J157" s="65" t="str">
        <f t="shared" si="28"/>
        <v/>
      </c>
      <c r="K157" s="66" t="str">
        <f t="shared" si="29"/>
        <v/>
      </c>
      <c r="L157" s="67"/>
    </row>
    <row r="158" ht="23.1" customHeight="1" spans="1:12">
      <c r="A158" s="107"/>
      <c r="B158" s="62" t="s">
        <v>218</v>
      </c>
      <c r="C158" s="63">
        <v>275</v>
      </c>
      <c r="D158" s="72"/>
      <c r="E158" s="84"/>
      <c r="F158" s="65">
        <f t="shared" si="24"/>
        <v>14.1357684630739</v>
      </c>
      <c r="G158" s="65" t="str">
        <f t="shared" si="25"/>
        <v/>
      </c>
      <c r="H158" s="66" t="str">
        <f t="shared" si="26"/>
        <v/>
      </c>
      <c r="I158" s="65">
        <f t="shared" si="27"/>
        <v>2511.61777777778</v>
      </c>
      <c r="J158" s="65" t="str">
        <f t="shared" si="28"/>
        <v/>
      </c>
      <c r="K158" s="66" t="str">
        <f t="shared" si="29"/>
        <v/>
      </c>
      <c r="L158" s="67"/>
    </row>
    <row r="159" ht="23.1" customHeight="1" spans="1:12">
      <c r="A159" s="107"/>
      <c r="B159" s="62" t="s">
        <v>219</v>
      </c>
      <c r="C159" s="63">
        <v>280</v>
      </c>
      <c r="D159" s="72"/>
      <c r="E159" s="84"/>
      <c r="F159" s="65">
        <f t="shared" si="24"/>
        <v>14.2357684630739</v>
      </c>
      <c r="G159" s="65" t="str">
        <f t="shared" si="25"/>
        <v/>
      </c>
      <c r="H159" s="66" t="str">
        <f t="shared" si="26"/>
        <v/>
      </c>
      <c r="I159" s="65">
        <f t="shared" si="27"/>
        <v>2531.06222222222</v>
      </c>
      <c r="J159" s="65" t="str">
        <f t="shared" si="28"/>
        <v/>
      </c>
      <c r="K159" s="66" t="str">
        <f t="shared" si="29"/>
        <v/>
      </c>
      <c r="L159" s="67"/>
    </row>
    <row r="160" ht="23.1" customHeight="1" spans="1:12">
      <c r="A160" s="107"/>
      <c r="B160" s="62" t="s">
        <v>220</v>
      </c>
      <c r="C160" s="63">
        <v>290</v>
      </c>
      <c r="D160" s="72"/>
      <c r="E160" s="84"/>
      <c r="F160" s="65">
        <f t="shared" si="24"/>
        <v>14.4357684630739</v>
      </c>
      <c r="G160" s="65" t="str">
        <f t="shared" si="25"/>
        <v/>
      </c>
      <c r="H160" s="66" t="str">
        <f t="shared" si="26"/>
        <v/>
      </c>
      <c r="I160" s="65">
        <f t="shared" si="27"/>
        <v>2569.95111111111</v>
      </c>
      <c r="J160" s="65" t="str">
        <f t="shared" si="28"/>
        <v/>
      </c>
      <c r="K160" s="66" t="str">
        <f t="shared" si="29"/>
        <v/>
      </c>
      <c r="L160" s="67"/>
    </row>
    <row r="161" ht="23.1" customHeight="1" spans="1:12">
      <c r="A161" s="107"/>
      <c r="B161" s="62" t="s">
        <v>221</v>
      </c>
      <c r="C161" s="63">
        <v>290</v>
      </c>
      <c r="D161" s="72"/>
      <c r="E161" s="84"/>
      <c r="F161" s="65">
        <f t="shared" si="24"/>
        <v>14.4357684630739</v>
      </c>
      <c r="G161" s="65" t="str">
        <f t="shared" si="25"/>
        <v/>
      </c>
      <c r="H161" s="66" t="str">
        <f t="shared" si="26"/>
        <v/>
      </c>
      <c r="I161" s="65">
        <f t="shared" si="27"/>
        <v>2569.95111111111</v>
      </c>
      <c r="J161" s="65" t="str">
        <f t="shared" si="28"/>
        <v/>
      </c>
      <c r="K161" s="66" t="str">
        <f t="shared" si="29"/>
        <v/>
      </c>
      <c r="L161" s="67"/>
    </row>
    <row r="162" ht="23.1" customHeight="1" spans="1:12">
      <c r="A162" s="107"/>
      <c r="B162" s="62" t="s">
        <v>222</v>
      </c>
      <c r="C162" s="63">
        <v>265</v>
      </c>
      <c r="D162" s="72"/>
      <c r="E162" s="84"/>
      <c r="F162" s="65">
        <f t="shared" si="24"/>
        <v>13.9357684630739</v>
      </c>
      <c r="G162" s="65" t="str">
        <f t="shared" si="25"/>
        <v/>
      </c>
      <c r="H162" s="66" t="str">
        <f t="shared" si="26"/>
        <v/>
      </c>
      <c r="I162" s="65">
        <f t="shared" si="27"/>
        <v>2472.72888888889</v>
      </c>
      <c r="J162" s="65" t="str">
        <f t="shared" si="28"/>
        <v/>
      </c>
      <c r="K162" s="66" t="str">
        <f t="shared" si="29"/>
        <v/>
      </c>
      <c r="L162" s="67"/>
    </row>
    <row r="163" ht="23.1" customHeight="1" spans="1:12">
      <c r="A163" s="107"/>
      <c r="B163" s="62" t="s">
        <v>223</v>
      </c>
      <c r="C163" s="63">
        <v>285</v>
      </c>
      <c r="D163" s="72"/>
      <c r="E163" s="84"/>
      <c r="F163" s="65">
        <f t="shared" si="24"/>
        <v>14.3357684630739</v>
      </c>
      <c r="G163" s="65" t="str">
        <f t="shared" si="25"/>
        <v/>
      </c>
      <c r="H163" s="66" t="str">
        <f t="shared" si="26"/>
        <v/>
      </c>
      <c r="I163" s="65">
        <f t="shared" si="27"/>
        <v>2550.50666666667</v>
      </c>
      <c r="J163" s="65" t="str">
        <f t="shared" si="28"/>
        <v/>
      </c>
      <c r="K163" s="66" t="str">
        <f t="shared" si="29"/>
        <v/>
      </c>
      <c r="L163" s="67"/>
    </row>
    <row r="164" ht="23.1" customHeight="1" spans="1:12">
      <c r="A164" s="107"/>
      <c r="B164" s="62" t="s">
        <v>224</v>
      </c>
      <c r="C164" s="63">
        <v>285</v>
      </c>
      <c r="D164" s="72"/>
      <c r="E164" s="84"/>
      <c r="F164" s="65">
        <f t="shared" si="24"/>
        <v>14.3357684630739</v>
      </c>
      <c r="G164" s="65" t="str">
        <f t="shared" si="25"/>
        <v/>
      </c>
      <c r="H164" s="66" t="str">
        <f t="shared" si="26"/>
        <v/>
      </c>
      <c r="I164" s="65">
        <f t="shared" si="27"/>
        <v>2550.50666666667</v>
      </c>
      <c r="J164" s="65" t="str">
        <f t="shared" si="28"/>
        <v/>
      </c>
      <c r="K164" s="66" t="str">
        <f t="shared" si="29"/>
        <v/>
      </c>
      <c r="L164" s="67"/>
    </row>
    <row r="165" ht="23.1" customHeight="1" spans="1:12">
      <c r="A165" s="107"/>
      <c r="B165" s="62" t="s">
        <v>225</v>
      </c>
      <c r="C165" s="63">
        <v>285</v>
      </c>
      <c r="D165" s="72"/>
      <c r="E165" s="84"/>
      <c r="F165" s="65">
        <f t="shared" si="24"/>
        <v>14.3357684630739</v>
      </c>
      <c r="G165" s="65" t="str">
        <f t="shared" si="25"/>
        <v/>
      </c>
      <c r="H165" s="66" t="str">
        <f t="shared" si="26"/>
        <v/>
      </c>
      <c r="I165" s="65">
        <f t="shared" si="27"/>
        <v>2550.50666666667</v>
      </c>
      <c r="J165" s="65" t="str">
        <f t="shared" si="28"/>
        <v/>
      </c>
      <c r="K165" s="66" t="str">
        <f t="shared" si="29"/>
        <v/>
      </c>
      <c r="L165" s="67"/>
    </row>
    <row r="166" ht="23.1" customHeight="1" spans="1:12">
      <c r="A166" s="107"/>
      <c r="B166" s="62" t="s">
        <v>226</v>
      </c>
      <c r="C166" s="63">
        <v>285</v>
      </c>
      <c r="D166" s="72"/>
      <c r="E166" s="84"/>
      <c r="F166" s="65">
        <f t="shared" si="24"/>
        <v>14.3357684630739</v>
      </c>
      <c r="G166" s="65" t="str">
        <f t="shared" si="25"/>
        <v/>
      </c>
      <c r="H166" s="66" t="str">
        <f t="shared" si="26"/>
        <v/>
      </c>
      <c r="I166" s="65">
        <f t="shared" si="27"/>
        <v>2550.50666666667</v>
      </c>
      <c r="J166" s="65" t="str">
        <f t="shared" si="28"/>
        <v/>
      </c>
      <c r="K166" s="66" t="str">
        <f t="shared" si="29"/>
        <v/>
      </c>
      <c r="L166" s="67"/>
    </row>
    <row r="167" ht="23.1" customHeight="1" spans="1:12">
      <c r="A167" s="107"/>
      <c r="B167" s="62" t="s">
        <v>227</v>
      </c>
      <c r="C167" s="63">
        <v>270</v>
      </c>
      <c r="D167" s="72"/>
      <c r="E167" s="84"/>
      <c r="F167" s="65">
        <f t="shared" si="24"/>
        <v>14.0357684630739</v>
      </c>
      <c r="G167" s="65" t="str">
        <f t="shared" si="25"/>
        <v/>
      </c>
      <c r="H167" s="66" t="str">
        <f t="shared" si="26"/>
        <v/>
      </c>
      <c r="I167" s="65">
        <f t="shared" si="27"/>
        <v>2492.17333333333</v>
      </c>
      <c r="J167" s="65" t="str">
        <f t="shared" si="28"/>
        <v/>
      </c>
      <c r="K167" s="66" t="str">
        <f t="shared" si="29"/>
        <v/>
      </c>
      <c r="L167" s="67"/>
    </row>
    <row r="168" ht="23.1" customHeight="1" spans="1:12">
      <c r="A168" s="107"/>
      <c r="B168" s="62" t="s">
        <v>228</v>
      </c>
      <c r="C168" s="63">
        <v>300</v>
      </c>
      <c r="D168" s="72"/>
      <c r="E168" s="84"/>
      <c r="F168" s="65">
        <f t="shared" si="24"/>
        <v>14.6357684630739</v>
      </c>
      <c r="G168" s="65" t="str">
        <f t="shared" si="25"/>
        <v/>
      </c>
      <c r="H168" s="66" t="str">
        <f t="shared" si="26"/>
        <v/>
      </c>
      <c r="I168" s="65">
        <f t="shared" si="27"/>
        <v>2608.84</v>
      </c>
      <c r="J168" s="65" t="str">
        <f t="shared" si="28"/>
        <v/>
      </c>
      <c r="K168" s="66" t="str">
        <f t="shared" si="29"/>
        <v/>
      </c>
      <c r="L168" s="67"/>
    </row>
    <row r="169" ht="23.1" customHeight="1" spans="1:12">
      <c r="A169" s="107"/>
      <c r="B169" s="62" t="s">
        <v>229</v>
      </c>
      <c r="C169" s="63">
        <v>350</v>
      </c>
      <c r="D169" s="72"/>
      <c r="E169" s="84"/>
      <c r="F169" s="65">
        <f t="shared" si="24"/>
        <v>15.6357684630739</v>
      </c>
      <c r="G169" s="65" t="str">
        <f t="shared" si="25"/>
        <v/>
      </c>
      <c r="H169" s="66" t="str">
        <f t="shared" si="26"/>
        <v/>
      </c>
      <c r="I169" s="65">
        <f t="shared" si="27"/>
        <v>2803.28444444444</v>
      </c>
      <c r="J169" s="65" t="str">
        <f t="shared" si="28"/>
        <v/>
      </c>
      <c r="K169" s="66" t="str">
        <f t="shared" si="29"/>
        <v/>
      </c>
      <c r="L169" s="67"/>
    </row>
    <row r="170" ht="23.1" customHeight="1" spans="1:12">
      <c r="A170" s="107"/>
      <c r="B170" s="62" t="s">
        <v>230</v>
      </c>
      <c r="C170" s="63">
        <v>375</v>
      </c>
      <c r="D170" s="72"/>
      <c r="E170" s="84"/>
      <c r="F170" s="65">
        <f t="shared" si="24"/>
        <v>16.1357684630739</v>
      </c>
      <c r="G170" s="65" t="str">
        <f t="shared" si="25"/>
        <v/>
      </c>
      <c r="H170" s="66" t="str">
        <f t="shared" si="26"/>
        <v/>
      </c>
      <c r="I170" s="65">
        <f t="shared" si="27"/>
        <v>2900.50666666667</v>
      </c>
      <c r="J170" s="65" t="str">
        <f t="shared" si="28"/>
        <v/>
      </c>
      <c r="K170" s="66" t="str">
        <f t="shared" si="29"/>
        <v/>
      </c>
      <c r="L170" s="67"/>
    </row>
    <row r="171" ht="23.1" customHeight="1" spans="1:12">
      <c r="A171" s="107"/>
      <c r="B171" s="62" t="s">
        <v>231</v>
      </c>
      <c r="C171" s="63">
        <v>265</v>
      </c>
      <c r="D171" s="72"/>
      <c r="E171" s="84"/>
      <c r="F171" s="65">
        <f t="shared" si="24"/>
        <v>13.9357684630739</v>
      </c>
      <c r="G171" s="65" t="str">
        <f t="shared" si="25"/>
        <v/>
      </c>
      <c r="H171" s="66" t="str">
        <f t="shared" si="26"/>
        <v/>
      </c>
      <c r="I171" s="65">
        <f t="shared" si="27"/>
        <v>2472.72888888889</v>
      </c>
      <c r="J171" s="65" t="str">
        <f t="shared" si="28"/>
        <v/>
      </c>
      <c r="K171" s="66" t="str">
        <f t="shared" si="29"/>
        <v/>
      </c>
      <c r="L171" s="67"/>
    </row>
    <row r="172" ht="23.1" customHeight="1" spans="1:12">
      <c r="A172" s="107"/>
      <c r="B172" s="62" t="s">
        <v>232</v>
      </c>
      <c r="C172" s="63">
        <v>225</v>
      </c>
      <c r="D172" s="72"/>
      <c r="E172" s="84"/>
      <c r="F172" s="65">
        <f t="shared" si="24"/>
        <v>13.1357684630739</v>
      </c>
      <c r="G172" s="65" t="str">
        <f t="shared" si="25"/>
        <v/>
      </c>
      <c r="H172" s="66" t="str">
        <f t="shared" si="26"/>
        <v/>
      </c>
      <c r="I172" s="65">
        <f t="shared" si="27"/>
        <v>2317.17333333333</v>
      </c>
      <c r="J172" s="65" t="str">
        <f t="shared" si="28"/>
        <v/>
      </c>
      <c r="K172" s="66" t="str">
        <f t="shared" si="29"/>
        <v/>
      </c>
      <c r="L172" s="67"/>
    </row>
    <row r="173" ht="23.1" customHeight="1" spans="1:12">
      <c r="A173" s="107"/>
      <c r="B173" s="62" t="s">
        <v>233</v>
      </c>
      <c r="C173" s="63">
        <v>230</v>
      </c>
      <c r="D173" s="72"/>
      <c r="E173" s="84"/>
      <c r="F173" s="65">
        <f t="shared" si="24"/>
        <v>13.2357684630739</v>
      </c>
      <c r="G173" s="65" t="str">
        <f t="shared" si="25"/>
        <v/>
      </c>
      <c r="H173" s="66" t="str">
        <f t="shared" si="26"/>
        <v/>
      </c>
      <c r="I173" s="65">
        <f t="shared" si="27"/>
        <v>2336.61777777778</v>
      </c>
      <c r="J173" s="65" t="str">
        <f t="shared" si="28"/>
        <v/>
      </c>
      <c r="K173" s="66" t="str">
        <f t="shared" si="29"/>
        <v/>
      </c>
      <c r="L173" s="67"/>
    </row>
    <row r="174" ht="23.1" customHeight="1" spans="1:12">
      <c r="A174" s="107"/>
      <c r="B174" s="62" t="s">
        <v>234</v>
      </c>
      <c r="C174" s="63">
        <v>230</v>
      </c>
      <c r="D174" s="72"/>
      <c r="E174" s="84"/>
      <c r="F174" s="65">
        <f t="shared" ref="F174:F196" si="30">$J$12+(C174*$J$10/$L$10)</f>
        <v>13.2357684630739</v>
      </c>
      <c r="G174" s="65" t="str">
        <f t="shared" ref="G174:G196" si="31">IF(D174="","",($J$11-$H$7+D174)*$J$10/$H$12)</f>
        <v/>
      </c>
      <c r="H174" s="66" t="str">
        <f t="shared" ref="H174:H196" si="32">IF(E174="","",($J$11-$H$7+E174)*$J$10/$H$12)</f>
        <v/>
      </c>
      <c r="I174" s="65">
        <f t="shared" ref="I174:I196" si="33">$F$12+(C174*$J$10/$L$12)</f>
        <v>2336.61777777778</v>
      </c>
      <c r="J174" s="65" t="str">
        <f t="shared" si="28"/>
        <v/>
      </c>
      <c r="K174" s="66" t="str">
        <f t="shared" si="29"/>
        <v/>
      </c>
      <c r="L174" s="67"/>
    </row>
    <row r="175" ht="23.1" customHeight="1" spans="1:12">
      <c r="A175" s="107"/>
      <c r="B175" s="62" t="s">
        <v>235</v>
      </c>
      <c r="C175" s="63">
        <v>230</v>
      </c>
      <c r="D175" s="72"/>
      <c r="E175" s="84"/>
      <c r="F175" s="65">
        <f t="shared" si="30"/>
        <v>13.2357684630739</v>
      </c>
      <c r="G175" s="65" t="str">
        <f t="shared" si="31"/>
        <v/>
      </c>
      <c r="H175" s="66" t="str">
        <f t="shared" si="32"/>
        <v/>
      </c>
      <c r="I175" s="65">
        <f t="shared" si="33"/>
        <v>2336.61777777778</v>
      </c>
      <c r="J175" s="65" t="str">
        <f t="shared" si="28"/>
        <v/>
      </c>
      <c r="K175" s="66" t="str">
        <f t="shared" si="29"/>
        <v/>
      </c>
      <c r="L175" s="67"/>
    </row>
    <row r="176" ht="23.1" customHeight="1" spans="1:12">
      <c r="A176" s="107"/>
      <c r="B176" s="62" t="s">
        <v>236</v>
      </c>
      <c r="C176" s="63">
        <v>230</v>
      </c>
      <c r="D176" s="72"/>
      <c r="E176" s="84"/>
      <c r="F176" s="65">
        <f t="shared" si="30"/>
        <v>13.2357684630739</v>
      </c>
      <c r="G176" s="65" t="str">
        <f t="shared" si="31"/>
        <v/>
      </c>
      <c r="H176" s="66" t="str">
        <f t="shared" si="32"/>
        <v/>
      </c>
      <c r="I176" s="65">
        <f t="shared" si="33"/>
        <v>2336.61777777778</v>
      </c>
      <c r="J176" s="65" t="str">
        <f t="shared" ref="J176:J196" si="34">IF(D176="","",($J$11-$H$7+D176)*$J$10/$B$12)</f>
        <v/>
      </c>
      <c r="K176" s="66" t="str">
        <f t="shared" ref="K176:K196" si="35">IF(E176="","",($J$11-$H$7+E176)*$J$10/$B$12)</f>
        <v/>
      </c>
      <c r="L176" s="67"/>
    </row>
    <row r="177" ht="23.1" customHeight="1" spans="1:12">
      <c r="A177" s="107"/>
      <c r="B177" s="62" t="s">
        <v>237</v>
      </c>
      <c r="C177" s="63">
        <v>50</v>
      </c>
      <c r="D177" s="72"/>
      <c r="E177" s="84">
        <v>1530</v>
      </c>
      <c r="F177" s="65">
        <f t="shared" si="30"/>
        <v>9.63576846307385</v>
      </c>
      <c r="G177" s="65" t="str">
        <f t="shared" si="31"/>
        <v/>
      </c>
      <c r="H177" s="66">
        <f t="shared" si="32"/>
        <v>8.6637125748503</v>
      </c>
      <c r="I177" s="65">
        <f t="shared" si="33"/>
        <v>1636.61777777778</v>
      </c>
      <c r="J177" s="65" t="str">
        <f t="shared" si="34"/>
        <v/>
      </c>
      <c r="K177" s="66">
        <f t="shared" si="35"/>
        <v>1446.84</v>
      </c>
      <c r="L177" s="67"/>
    </row>
    <row r="178" ht="23.1" customHeight="1" spans="1:12">
      <c r="A178" s="107"/>
      <c r="B178" s="62" t="s">
        <v>238</v>
      </c>
      <c r="C178" s="63">
        <v>50</v>
      </c>
      <c r="D178" s="72"/>
      <c r="E178" s="84">
        <v>1480</v>
      </c>
      <c r="F178" s="65">
        <f t="shared" si="30"/>
        <v>9.63576846307385</v>
      </c>
      <c r="G178" s="65" t="str">
        <f t="shared" si="31"/>
        <v/>
      </c>
      <c r="H178" s="66">
        <f t="shared" si="32"/>
        <v>8.63576846307385</v>
      </c>
      <c r="I178" s="65">
        <f t="shared" si="33"/>
        <v>1636.61777777778</v>
      </c>
      <c r="J178" s="65" t="str">
        <f t="shared" si="34"/>
        <v/>
      </c>
      <c r="K178" s="66">
        <f t="shared" si="35"/>
        <v>1442.17333333333</v>
      </c>
      <c r="L178" s="67"/>
    </row>
    <row r="179" ht="23.1" customHeight="1" spans="1:12">
      <c r="A179" s="107"/>
      <c r="B179" s="62" t="s">
        <v>239</v>
      </c>
      <c r="C179" s="63">
        <v>50</v>
      </c>
      <c r="D179" s="72"/>
      <c r="E179" s="84"/>
      <c r="F179" s="65">
        <f t="shared" si="30"/>
        <v>9.63576846307385</v>
      </c>
      <c r="G179" s="65" t="str">
        <f t="shared" si="31"/>
        <v/>
      </c>
      <c r="H179" s="66" t="str">
        <f t="shared" si="32"/>
        <v/>
      </c>
      <c r="I179" s="65">
        <f t="shared" si="33"/>
        <v>1636.61777777778</v>
      </c>
      <c r="J179" s="65" t="str">
        <f t="shared" si="34"/>
        <v/>
      </c>
      <c r="K179" s="66" t="str">
        <f t="shared" si="35"/>
        <v/>
      </c>
      <c r="L179" s="67"/>
    </row>
    <row r="180" ht="23.1" customHeight="1" spans="1:12">
      <c r="A180" s="107"/>
      <c r="B180" s="62" t="s">
        <v>240</v>
      </c>
      <c r="C180" s="63">
        <v>85</v>
      </c>
      <c r="D180" s="72"/>
      <c r="E180" s="84">
        <v>2750</v>
      </c>
      <c r="F180" s="65">
        <f t="shared" si="30"/>
        <v>10.3357684630739</v>
      </c>
      <c r="G180" s="65" t="str">
        <f t="shared" si="31"/>
        <v/>
      </c>
      <c r="H180" s="66">
        <f t="shared" si="32"/>
        <v>9.34554890219561</v>
      </c>
      <c r="I180" s="65">
        <f t="shared" si="33"/>
        <v>1772.72888888889</v>
      </c>
      <c r="J180" s="65" t="str">
        <f t="shared" si="34"/>
        <v/>
      </c>
      <c r="K180" s="66">
        <f t="shared" si="35"/>
        <v>1560.70666666667</v>
      </c>
      <c r="L180" s="67"/>
    </row>
    <row r="181" ht="23.1" customHeight="1" spans="1:12">
      <c r="A181" s="107"/>
      <c r="B181" s="62" t="s">
        <v>241</v>
      </c>
      <c r="C181" s="63">
        <v>85</v>
      </c>
      <c r="D181" s="72"/>
      <c r="E181" s="84">
        <v>2730</v>
      </c>
      <c r="F181" s="65">
        <f t="shared" si="30"/>
        <v>10.3357684630739</v>
      </c>
      <c r="G181" s="65" t="str">
        <f t="shared" si="31"/>
        <v/>
      </c>
      <c r="H181" s="66">
        <f t="shared" si="32"/>
        <v>9.33437125748503</v>
      </c>
      <c r="I181" s="65">
        <f t="shared" si="33"/>
        <v>1772.72888888889</v>
      </c>
      <c r="J181" s="65" t="str">
        <f t="shared" si="34"/>
        <v/>
      </c>
      <c r="K181" s="66">
        <f t="shared" si="35"/>
        <v>1558.84</v>
      </c>
      <c r="L181" s="67"/>
    </row>
    <row r="182" ht="23.1" customHeight="1" spans="1:12">
      <c r="A182" s="107"/>
      <c r="B182" s="62" t="s">
        <v>242</v>
      </c>
      <c r="C182" s="63">
        <v>85</v>
      </c>
      <c r="D182" s="72"/>
      <c r="E182" s="84"/>
      <c r="F182" s="65">
        <f t="shared" si="30"/>
        <v>10.3357684630739</v>
      </c>
      <c r="G182" s="65" t="str">
        <f t="shared" si="31"/>
        <v/>
      </c>
      <c r="H182" s="66" t="str">
        <f t="shared" si="32"/>
        <v/>
      </c>
      <c r="I182" s="65">
        <f t="shared" si="33"/>
        <v>1772.72888888889</v>
      </c>
      <c r="J182" s="65" t="str">
        <f t="shared" si="34"/>
        <v/>
      </c>
      <c r="K182" s="66" t="str">
        <f t="shared" si="35"/>
        <v/>
      </c>
      <c r="L182" s="67"/>
    </row>
    <row r="183" ht="23.1" customHeight="1" spans="1:12">
      <c r="A183" s="107"/>
      <c r="B183" s="62" t="s">
        <v>243</v>
      </c>
      <c r="C183" s="63">
        <v>130</v>
      </c>
      <c r="D183" s="72"/>
      <c r="E183" s="84"/>
      <c r="F183" s="65">
        <f t="shared" si="30"/>
        <v>11.2357684630739</v>
      </c>
      <c r="G183" s="65" t="str">
        <f t="shared" si="31"/>
        <v/>
      </c>
      <c r="H183" s="66" t="str">
        <f t="shared" si="32"/>
        <v/>
      </c>
      <c r="I183" s="65">
        <f t="shared" si="33"/>
        <v>1947.72888888889</v>
      </c>
      <c r="J183" s="65" t="str">
        <f t="shared" si="34"/>
        <v/>
      </c>
      <c r="K183" s="66" t="str">
        <f t="shared" si="35"/>
        <v/>
      </c>
      <c r="L183" s="67"/>
    </row>
    <row r="184" ht="23.1" customHeight="1" spans="1:12">
      <c r="A184" s="107"/>
      <c r="B184" s="62" t="s">
        <v>244</v>
      </c>
      <c r="C184" s="63">
        <v>195</v>
      </c>
      <c r="D184" s="72"/>
      <c r="E184" s="84"/>
      <c r="F184" s="65">
        <f t="shared" si="30"/>
        <v>12.5357684630739</v>
      </c>
      <c r="G184" s="65" t="str">
        <f t="shared" si="31"/>
        <v/>
      </c>
      <c r="H184" s="66" t="str">
        <f t="shared" si="32"/>
        <v/>
      </c>
      <c r="I184" s="65">
        <f t="shared" si="33"/>
        <v>2200.50666666667</v>
      </c>
      <c r="J184" s="65" t="str">
        <f t="shared" si="34"/>
        <v/>
      </c>
      <c r="K184" s="66" t="str">
        <f t="shared" si="35"/>
        <v/>
      </c>
      <c r="L184" s="67"/>
    </row>
    <row r="185" ht="23.1" customHeight="1" spans="1:12">
      <c r="A185" s="107"/>
      <c r="B185" s="62" t="s">
        <v>245</v>
      </c>
      <c r="C185" s="63">
        <v>205</v>
      </c>
      <c r="D185" s="72"/>
      <c r="E185" s="63"/>
      <c r="F185" s="65">
        <f t="shared" si="30"/>
        <v>12.7357684630739</v>
      </c>
      <c r="G185" s="65" t="str">
        <f t="shared" si="31"/>
        <v/>
      </c>
      <c r="H185" s="66" t="str">
        <f t="shared" si="32"/>
        <v/>
      </c>
      <c r="I185" s="65">
        <f t="shared" si="33"/>
        <v>2239.39555555556</v>
      </c>
      <c r="J185" s="65" t="str">
        <f t="shared" si="34"/>
        <v/>
      </c>
      <c r="K185" s="66" t="str">
        <f t="shared" si="35"/>
        <v/>
      </c>
      <c r="L185" s="67"/>
    </row>
    <row r="186" ht="23.1" customHeight="1" spans="1:12">
      <c r="A186" s="107"/>
      <c r="B186" s="62" t="s">
        <v>246</v>
      </c>
      <c r="C186" s="63">
        <v>85</v>
      </c>
      <c r="D186" s="72"/>
      <c r="E186" s="63"/>
      <c r="F186" s="65">
        <f t="shared" si="30"/>
        <v>10.3357684630739</v>
      </c>
      <c r="G186" s="65" t="str">
        <f t="shared" si="31"/>
        <v/>
      </c>
      <c r="H186" s="66" t="str">
        <f t="shared" si="32"/>
        <v/>
      </c>
      <c r="I186" s="65">
        <f t="shared" si="33"/>
        <v>1772.72888888889</v>
      </c>
      <c r="J186" s="65" t="str">
        <f t="shared" si="34"/>
        <v/>
      </c>
      <c r="K186" s="66" t="str">
        <f t="shared" si="35"/>
        <v/>
      </c>
      <c r="L186" s="67"/>
    </row>
    <row r="187" ht="23.1" customHeight="1" spans="1:12">
      <c r="A187" s="107"/>
      <c r="B187" s="62" t="s">
        <v>247</v>
      </c>
      <c r="C187" s="63">
        <v>85</v>
      </c>
      <c r="D187" s="72"/>
      <c r="E187" s="63"/>
      <c r="F187" s="65">
        <f t="shared" si="30"/>
        <v>10.3357684630739</v>
      </c>
      <c r="G187" s="65" t="str">
        <f t="shared" si="31"/>
        <v/>
      </c>
      <c r="H187" s="66" t="str">
        <f t="shared" si="32"/>
        <v/>
      </c>
      <c r="I187" s="65">
        <f t="shared" si="33"/>
        <v>1772.72888888889</v>
      </c>
      <c r="J187" s="65" t="str">
        <f t="shared" si="34"/>
        <v/>
      </c>
      <c r="K187" s="66" t="str">
        <f t="shared" si="35"/>
        <v/>
      </c>
      <c r="L187" s="67">
        <v>10.9</v>
      </c>
    </row>
    <row r="188" ht="23.1" customHeight="1" spans="1:12">
      <c r="A188" s="107"/>
      <c r="B188" s="62" t="s">
        <v>248</v>
      </c>
      <c r="C188" s="63">
        <v>245</v>
      </c>
      <c r="D188" s="72"/>
      <c r="E188" s="63"/>
      <c r="F188" s="65">
        <f t="shared" si="30"/>
        <v>13.5357684630739</v>
      </c>
      <c r="G188" s="65" t="str">
        <f t="shared" si="31"/>
        <v/>
      </c>
      <c r="H188" s="66" t="str">
        <f t="shared" si="32"/>
        <v/>
      </c>
      <c r="I188" s="65">
        <f t="shared" si="33"/>
        <v>2394.95111111111</v>
      </c>
      <c r="J188" s="65" t="str">
        <f t="shared" si="34"/>
        <v/>
      </c>
      <c r="K188" s="66" t="str">
        <f t="shared" si="35"/>
        <v/>
      </c>
      <c r="L188" s="67"/>
    </row>
    <row r="189" ht="23.1" customHeight="1" spans="1:12">
      <c r="A189" s="107"/>
      <c r="B189" s="62" t="s">
        <v>249</v>
      </c>
      <c r="C189" s="63">
        <v>250</v>
      </c>
      <c r="D189" s="72"/>
      <c r="E189" s="63"/>
      <c r="F189" s="65">
        <f t="shared" si="30"/>
        <v>13.6357684630739</v>
      </c>
      <c r="G189" s="65" t="str">
        <f t="shared" si="31"/>
        <v/>
      </c>
      <c r="H189" s="66" t="str">
        <f t="shared" si="32"/>
        <v/>
      </c>
      <c r="I189" s="65">
        <f t="shared" si="33"/>
        <v>2414.39555555556</v>
      </c>
      <c r="J189" s="65" t="str">
        <f t="shared" si="34"/>
        <v/>
      </c>
      <c r="K189" s="66" t="str">
        <f t="shared" si="35"/>
        <v/>
      </c>
      <c r="L189" s="67"/>
    </row>
    <row r="190" ht="23.1" customHeight="1" spans="1:12">
      <c r="A190" s="107"/>
      <c r="B190" s="62" t="s">
        <v>250</v>
      </c>
      <c r="C190" s="63">
        <v>225</v>
      </c>
      <c r="D190" s="72"/>
      <c r="E190" s="63"/>
      <c r="F190" s="65">
        <f t="shared" si="30"/>
        <v>13.1357684630739</v>
      </c>
      <c r="G190" s="65" t="str">
        <f t="shared" si="31"/>
        <v/>
      </c>
      <c r="H190" s="66" t="str">
        <f t="shared" si="32"/>
        <v/>
      </c>
      <c r="I190" s="65">
        <f t="shared" si="33"/>
        <v>2317.17333333333</v>
      </c>
      <c r="J190" s="65" t="str">
        <f t="shared" si="34"/>
        <v/>
      </c>
      <c r="K190" s="66" t="str">
        <f t="shared" si="35"/>
        <v/>
      </c>
      <c r="L190" s="67"/>
    </row>
    <row r="191" ht="23.1" customHeight="1" spans="1:12">
      <c r="A191" s="107"/>
      <c r="B191" s="62" t="s">
        <v>251</v>
      </c>
      <c r="C191" s="63">
        <v>290</v>
      </c>
      <c r="D191" s="72"/>
      <c r="E191" s="63"/>
      <c r="F191" s="65">
        <f t="shared" si="30"/>
        <v>14.4357684630739</v>
      </c>
      <c r="G191" s="65" t="str">
        <f t="shared" si="31"/>
        <v/>
      </c>
      <c r="H191" s="66" t="str">
        <f t="shared" si="32"/>
        <v/>
      </c>
      <c r="I191" s="65">
        <f t="shared" si="33"/>
        <v>2569.95111111111</v>
      </c>
      <c r="J191" s="65" t="str">
        <f t="shared" si="34"/>
        <v/>
      </c>
      <c r="K191" s="66" t="str">
        <f t="shared" si="35"/>
        <v/>
      </c>
      <c r="L191" s="67"/>
    </row>
    <row r="192" ht="23.1" customHeight="1" spans="1:12">
      <c r="A192" s="107"/>
      <c r="B192" s="62" t="s">
        <v>252</v>
      </c>
      <c r="C192" s="63">
        <v>285</v>
      </c>
      <c r="D192" s="72"/>
      <c r="E192" s="63"/>
      <c r="F192" s="65">
        <f t="shared" si="30"/>
        <v>14.3357684630739</v>
      </c>
      <c r="G192" s="65" t="str">
        <f t="shared" si="31"/>
        <v/>
      </c>
      <c r="H192" s="66" t="str">
        <f t="shared" si="32"/>
        <v/>
      </c>
      <c r="I192" s="65">
        <f t="shared" si="33"/>
        <v>2550.50666666667</v>
      </c>
      <c r="J192" s="65" t="str">
        <f t="shared" si="34"/>
        <v/>
      </c>
      <c r="K192" s="66" t="str">
        <f t="shared" si="35"/>
        <v/>
      </c>
      <c r="L192" s="67"/>
    </row>
    <row r="193" ht="23.1" customHeight="1" spans="1:12">
      <c r="A193" s="107"/>
      <c r="B193" s="62" t="s">
        <v>253</v>
      </c>
      <c r="C193" s="63">
        <v>335</v>
      </c>
      <c r="D193" s="72"/>
      <c r="E193" s="63"/>
      <c r="F193" s="65">
        <f t="shared" si="30"/>
        <v>15.3357684630739</v>
      </c>
      <c r="G193" s="65" t="str">
        <f t="shared" si="31"/>
        <v/>
      </c>
      <c r="H193" s="66" t="str">
        <f t="shared" si="32"/>
        <v/>
      </c>
      <c r="I193" s="65">
        <f t="shared" si="33"/>
        <v>2744.95111111111</v>
      </c>
      <c r="J193" s="65" t="str">
        <f t="shared" si="34"/>
        <v/>
      </c>
      <c r="K193" s="66" t="str">
        <f t="shared" si="35"/>
        <v/>
      </c>
      <c r="L193" s="67"/>
    </row>
    <row r="194" ht="23.1" customHeight="1" spans="1:12">
      <c r="A194" s="107"/>
      <c r="B194" s="62" t="s">
        <v>254</v>
      </c>
      <c r="C194" s="63">
        <v>225</v>
      </c>
      <c r="D194" s="72"/>
      <c r="E194" s="63"/>
      <c r="F194" s="65">
        <f t="shared" si="30"/>
        <v>13.1357684630739</v>
      </c>
      <c r="G194" s="65" t="str">
        <f t="shared" si="31"/>
        <v/>
      </c>
      <c r="H194" s="66" t="str">
        <f t="shared" si="32"/>
        <v/>
      </c>
      <c r="I194" s="65">
        <f t="shared" si="33"/>
        <v>2317.17333333333</v>
      </c>
      <c r="J194" s="65" t="str">
        <f t="shared" si="34"/>
        <v/>
      </c>
      <c r="K194" s="66" t="str">
        <f t="shared" si="35"/>
        <v/>
      </c>
      <c r="L194" s="67"/>
    </row>
    <row r="195" ht="23.1" customHeight="1" spans="1:12">
      <c r="A195" s="107"/>
      <c r="B195" s="62" t="s">
        <v>255</v>
      </c>
      <c r="C195" s="63">
        <v>215</v>
      </c>
      <c r="D195" s="72"/>
      <c r="E195" s="63"/>
      <c r="F195" s="65">
        <f t="shared" si="30"/>
        <v>12.9357684630739</v>
      </c>
      <c r="G195" s="65" t="str">
        <f t="shared" si="31"/>
        <v/>
      </c>
      <c r="H195" s="66" t="str">
        <f t="shared" si="32"/>
        <v/>
      </c>
      <c r="I195" s="65">
        <f t="shared" si="33"/>
        <v>2278.28444444444</v>
      </c>
      <c r="J195" s="65" t="str">
        <f t="shared" si="34"/>
        <v/>
      </c>
      <c r="K195" s="66" t="str">
        <f t="shared" si="35"/>
        <v/>
      </c>
      <c r="L195" s="67"/>
    </row>
    <row r="196" ht="23.1" customHeight="1" spans="1:12">
      <c r="A196" s="107"/>
      <c r="B196" s="62" t="s">
        <v>256</v>
      </c>
      <c r="C196" s="63">
        <v>215</v>
      </c>
      <c r="D196" s="72"/>
      <c r="E196" s="63"/>
      <c r="F196" s="65">
        <f t="shared" si="30"/>
        <v>12.9357684630739</v>
      </c>
      <c r="G196" s="65" t="str">
        <f t="shared" si="31"/>
        <v/>
      </c>
      <c r="H196" s="66" t="str">
        <f t="shared" si="32"/>
        <v/>
      </c>
      <c r="I196" s="65">
        <f t="shared" si="33"/>
        <v>2278.28444444444</v>
      </c>
      <c r="J196" s="65" t="str">
        <f t="shared" si="34"/>
        <v/>
      </c>
      <c r="K196" s="66" t="str">
        <f t="shared" si="35"/>
        <v/>
      </c>
      <c r="L196" s="67"/>
    </row>
  </sheetData>
  <mergeCells count="20">
    <mergeCell ref="B1:E1"/>
    <mergeCell ref="C7:E7"/>
    <mergeCell ref="B10:F10"/>
    <mergeCell ref="B11:F11"/>
    <mergeCell ref="B12:D12"/>
    <mergeCell ref="A1:A9"/>
    <mergeCell ref="A14:A17"/>
    <mergeCell ref="A18:A23"/>
    <mergeCell ref="A24:A32"/>
    <mergeCell ref="A33:A42"/>
    <mergeCell ref="A43:A46"/>
    <mergeCell ref="A47:A52"/>
    <mergeCell ref="A53:A72"/>
    <mergeCell ref="A73:A86"/>
    <mergeCell ref="A87:A109"/>
    <mergeCell ref="A110:A196"/>
    <mergeCell ref="B2:B6"/>
    <mergeCell ref="B7:B9"/>
    <mergeCell ref="C2:E6"/>
    <mergeCell ref="C8:E9"/>
  </mergeCells>
  <conditionalFormatting sqref="B40:B42">
    <cfRule type="duplicateValues" dxfId="0" priority="2" stopIfTrue="1"/>
  </conditionalFormatting>
  <conditionalFormatting sqref="B14:B39 B43:B196">
    <cfRule type="duplicateValues" dxfId="0" priority="3" stopIfTrue="1"/>
  </conditionalFormatting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6"/>
  <sheetViews>
    <sheetView workbookViewId="0">
      <pane ySplit="13" topLeftCell="A14" activePane="bottomLeft" state="frozen"/>
      <selection/>
      <selection pane="bottomLeft" activeCell="C31" sqref="C31"/>
    </sheetView>
  </sheetViews>
  <sheetFormatPr defaultColWidth="14" defaultRowHeight="12.75"/>
  <cols>
    <col min="1" max="1" width="17" customWidth="1"/>
    <col min="2" max="2" width="13" customWidth="1"/>
    <col min="3" max="5" width="14" customWidth="1"/>
    <col min="6" max="6" width="17.4285714285714" customWidth="1"/>
    <col min="7" max="7" width="14" customWidth="1"/>
    <col min="8" max="8" width="15" customWidth="1"/>
    <col min="9" max="9" width="16" customWidth="1"/>
    <col min="10" max="11" width="14" customWidth="1"/>
    <col min="12" max="12" width="20" customWidth="1"/>
    <col min="13" max="13" width="16" customWidth="1"/>
    <col min="14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1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9000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1800</v>
      </c>
      <c r="I4" s="22">
        <v>1</v>
      </c>
      <c r="J4" s="24"/>
      <c r="K4" s="23"/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3000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18"/>
      <c r="B6" s="24"/>
      <c r="C6" s="36"/>
      <c r="D6" s="37"/>
      <c r="E6" s="38"/>
      <c r="F6" s="22" t="s">
        <v>21</v>
      </c>
      <c r="G6" s="22" t="s">
        <v>22</v>
      </c>
      <c r="H6" s="39">
        <v>9104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1480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1800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30</v>
      </c>
      <c r="B10" s="43" t="s">
        <v>31</v>
      </c>
      <c r="C10" s="43"/>
      <c r="D10" s="43"/>
      <c r="E10" s="43"/>
      <c r="F10" s="44"/>
      <c r="G10" s="22" t="s">
        <v>17</v>
      </c>
      <c r="H10" s="111">
        <f>SUM(H2:H5)</f>
        <v>14300</v>
      </c>
      <c r="I10" s="24" t="s">
        <v>32</v>
      </c>
      <c r="J10" s="24">
        <v>7</v>
      </c>
      <c r="K10" s="112">
        <f>H10/J10</f>
        <v>2042.85714285714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34</v>
      </c>
      <c r="C11" s="20"/>
      <c r="D11" s="20"/>
      <c r="E11" s="20"/>
      <c r="F11" s="21"/>
      <c r="G11" s="22" t="s">
        <v>22</v>
      </c>
      <c r="H11" s="113">
        <f>SUM(H6:H9)</f>
        <v>12384</v>
      </c>
      <c r="I11" s="24" t="s">
        <v>35</v>
      </c>
      <c r="J11" s="113">
        <f>H11+K10</f>
        <v>14426.8571428571</v>
      </c>
      <c r="K11" s="114">
        <f>J11*J10</f>
        <v>100988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115">
        <f>K11/B12</f>
        <v>1346.50666666667</v>
      </c>
      <c r="G12" s="22" t="s">
        <v>39</v>
      </c>
      <c r="H12" s="53">
        <v>12525</v>
      </c>
      <c r="I12" s="24" t="s">
        <v>40</v>
      </c>
      <c r="J12" s="116">
        <f>F12/167</f>
        <v>8.06291417165669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117" t="s">
        <v>45</v>
      </c>
      <c r="G13" s="117" t="s">
        <v>46</v>
      </c>
      <c r="H13" s="117" t="s">
        <v>47</v>
      </c>
      <c r="I13" s="118" t="s">
        <v>48</v>
      </c>
      <c r="J13" s="119" t="s">
        <v>49</v>
      </c>
      <c r="K13" s="119" t="s">
        <v>50</v>
      </c>
      <c r="L13" s="13" t="s">
        <v>51</v>
      </c>
    </row>
    <row r="14" ht="27.95" customHeight="1" spans="1:20">
      <c r="A14" s="82" t="s">
        <v>64</v>
      </c>
      <c r="B14" s="62" t="s">
        <v>65</v>
      </c>
      <c r="C14" s="63">
        <v>30</v>
      </c>
      <c r="D14" s="72">
        <v>1980</v>
      </c>
      <c r="E14" s="84">
        <v>1430</v>
      </c>
      <c r="F14" s="65">
        <f t="shared" ref="F14:F45" si="0">$J$12+(C14*$J$10/$L$10)</f>
        <v>8.66291417165669</v>
      </c>
      <c r="G14" s="65">
        <f t="shared" ref="G14:G45" si="1">IF(D14="","",($J$11-$H$7+D14)*$J$10/$H$12)</f>
        <v>8.34235528942116</v>
      </c>
      <c r="H14" s="66">
        <f t="shared" ref="H14:H45" si="2">IF(E14="","",($J$11-$H$7+E14)*$J$10/$H$12)</f>
        <v>8.03497005988024</v>
      </c>
      <c r="I14" s="65">
        <f t="shared" ref="I14:I45" si="3">$F$12+(C14*$J$10/$L$12)</f>
        <v>1463.17333333333</v>
      </c>
      <c r="J14" s="65">
        <f t="shared" ref="J14:J45" si="4">IF(D14="","",($J$11-$H$7+D14)*$J$10/$B$12)</f>
        <v>1393.17333333333</v>
      </c>
      <c r="K14" s="66">
        <f t="shared" ref="K14:K45" si="5">IF(E14="","",($J$11-$H$7+E14)*$J$10/$B$12)</f>
        <v>1341.84</v>
      </c>
      <c r="L14" s="67">
        <v>9.8</v>
      </c>
    </row>
    <row r="15" ht="23.1" customHeight="1" spans="1:20">
      <c r="A15" s="82"/>
      <c r="B15" s="62" t="s">
        <v>66</v>
      </c>
      <c r="C15" s="63">
        <v>30</v>
      </c>
      <c r="D15" s="72">
        <v>1980</v>
      </c>
      <c r="E15" s="84">
        <v>1430</v>
      </c>
      <c r="F15" s="65">
        <f t="shared" si="0"/>
        <v>8.66291417165669</v>
      </c>
      <c r="G15" s="65">
        <f t="shared" si="1"/>
        <v>8.34235528942116</v>
      </c>
      <c r="H15" s="66">
        <f t="shared" si="2"/>
        <v>8.03497005988024</v>
      </c>
      <c r="I15" s="65">
        <f t="shared" si="3"/>
        <v>1463.17333333333</v>
      </c>
      <c r="J15" s="65">
        <f t="shared" si="4"/>
        <v>1393.17333333333</v>
      </c>
      <c r="K15" s="66">
        <f t="shared" si="5"/>
        <v>1341.84</v>
      </c>
      <c r="L15" s="67">
        <v>9.8</v>
      </c>
    </row>
    <row r="16" ht="23.1" customHeight="1" spans="1:20">
      <c r="A16" s="82"/>
      <c r="B16" s="62" t="s">
        <v>67</v>
      </c>
      <c r="C16" s="63">
        <v>35</v>
      </c>
      <c r="D16" s="72">
        <v>1980</v>
      </c>
      <c r="E16" s="84">
        <v>1430</v>
      </c>
      <c r="F16" s="65">
        <f t="shared" si="0"/>
        <v>8.76291417165669</v>
      </c>
      <c r="G16" s="65">
        <f t="shared" si="1"/>
        <v>8.34235528942116</v>
      </c>
      <c r="H16" s="66">
        <f t="shared" si="2"/>
        <v>8.03497005988024</v>
      </c>
      <c r="I16" s="65">
        <f t="shared" si="3"/>
        <v>1482.61777777778</v>
      </c>
      <c r="J16" s="65">
        <f t="shared" si="4"/>
        <v>1393.17333333333</v>
      </c>
      <c r="K16" s="66">
        <f t="shared" si="5"/>
        <v>1341.84</v>
      </c>
      <c r="L16" s="67">
        <v>9.8</v>
      </c>
      <c r="M16" s="7"/>
    </row>
    <row r="17" ht="23.1" customHeight="1" spans="1:20">
      <c r="A17" s="82"/>
      <c r="B17" s="62" t="s">
        <v>68</v>
      </c>
      <c r="C17" s="63">
        <v>30</v>
      </c>
      <c r="D17" s="72">
        <v>1980</v>
      </c>
      <c r="E17" s="84">
        <v>1430</v>
      </c>
      <c r="F17" s="65">
        <f t="shared" si="0"/>
        <v>8.66291417165669</v>
      </c>
      <c r="G17" s="65">
        <f t="shared" si="1"/>
        <v>8.34235528942116</v>
      </c>
      <c r="H17" s="66">
        <f t="shared" si="2"/>
        <v>8.03497005988024</v>
      </c>
      <c r="I17" s="65">
        <f t="shared" si="3"/>
        <v>1463.17333333333</v>
      </c>
      <c r="J17" s="65">
        <f t="shared" si="4"/>
        <v>1393.17333333333</v>
      </c>
      <c r="K17" s="66">
        <f t="shared" si="5"/>
        <v>1341.84</v>
      </c>
      <c r="L17" s="67">
        <v>9.8</v>
      </c>
    </row>
    <row r="18" ht="23.1" customHeight="1" spans="1:20">
      <c r="A18" s="107" t="s">
        <v>69</v>
      </c>
      <c r="B18" s="80" t="s">
        <v>70</v>
      </c>
      <c r="C18" s="63">
        <v>70</v>
      </c>
      <c r="D18" s="120">
        <v>2980</v>
      </c>
      <c r="E18" s="84">
        <v>2730</v>
      </c>
      <c r="F18" s="65">
        <f t="shared" si="0"/>
        <v>9.46291417165669</v>
      </c>
      <c r="G18" s="65">
        <f t="shared" si="1"/>
        <v>8.9012375249501</v>
      </c>
      <c r="H18" s="66">
        <f t="shared" si="2"/>
        <v>8.76151696606786</v>
      </c>
      <c r="I18" s="65">
        <f t="shared" si="3"/>
        <v>1618.72888888889</v>
      </c>
      <c r="J18" s="65">
        <f t="shared" si="4"/>
        <v>1486.50666666667</v>
      </c>
      <c r="K18" s="66">
        <f t="shared" si="5"/>
        <v>1463.17333333333</v>
      </c>
      <c r="L18" s="67">
        <v>10.6</v>
      </c>
    </row>
    <row r="19" ht="23.1" customHeight="1" spans="1:20">
      <c r="A19" s="107"/>
      <c r="B19" s="80" t="s">
        <v>71</v>
      </c>
      <c r="C19" s="63">
        <v>70</v>
      </c>
      <c r="D19" s="120">
        <v>2980</v>
      </c>
      <c r="E19" s="84">
        <v>2730</v>
      </c>
      <c r="F19" s="65">
        <f t="shared" si="0"/>
        <v>9.46291417165669</v>
      </c>
      <c r="G19" s="65">
        <f t="shared" si="1"/>
        <v>8.9012375249501</v>
      </c>
      <c r="H19" s="66">
        <f t="shared" si="2"/>
        <v>8.76151696606786</v>
      </c>
      <c r="I19" s="65">
        <f t="shared" si="3"/>
        <v>1618.72888888889</v>
      </c>
      <c r="J19" s="65">
        <f t="shared" si="4"/>
        <v>1486.50666666667</v>
      </c>
      <c r="K19" s="66">
        <f t="shared" si="5"/>
        <v>1463.17333333333</v>
      </c>
      <c r="L19" s="67">
        <v>10.6</v>
      </c>
    </row>
    <row r="20" ht="23.1" customHeight="1" spans="1:20">
      <c r="A20" s="107"/>
      <c r="B20" s="80" t="s">
        <v>72</v>
      </c>
      <c r="C20" s="63">
        <v>70</v>
      </c>
      <c r="D20" s="120">
        <v>2980</v>
      </c>
      <c r="E20" s="84">
        <v>2530</v>
      </c>
      <c r="F20" s="65">
        <f t="shared" si="0"/>
        <v>9.46291417165669</v>
      </c>
      <c r="G20" s="65">
        <f t="shared" si="1"/>
        <v>8.9012375249501</v>
      </c>
      <c r="H20" s="66">
        <f t="shared" si="2"/>
        <v>8.64974051896208</v>
      </c>
      <c r="I20" s="65">
        <f t="shared" si="3"/>
        <v>1618.72888888889</v>
      </c>
      <c r="J20" s="65">
        <f t="shared" si="4"/>
        <v>1486.50666666667</v>
      </c>
      <c r="K20" s="66">
        <f t="shared" si="5"/>
        <v>1444.50666666667</v>
      </c>
      <c r="L20" s="67">
        <v>10.6</v>
      </c>
    </row>
    <row r="21" ht="23.1" customHeight="1" spans="1:20">
      <c r="A21" s="107"/>
      <c r="B21" s="80" t="s">
        <v>73</v>
      </c>
      <c r="C21" s="63">
        <v>70</v>
      </c>
      <c r="D21" s="120">
        <v>2980</v>
      </c>
      <c r="E21" s="84">
        <v>2530</v>
      </c>
      <c r="F21" s="65">
        <f t="shared" si="0"/>
        <v>9.46291417165669</v>
      </c>
      <c r="G21" s="65">
        <f t="shared" si="1"/>
        <v>8.9012375249501</v>
      </c>
      <c r="H21" s="66">
        <f t="shared" si="2"/>
        <v>8.64974051896208</v>
      </c>
      <c r="I21" s="65">
        <f t="shared" si="3"/>
        <v>1618.72888888889</v>
      </c>
      <c r="J21" s="65">
        <f t="shared" si="4"/>
        <v>1486.50666666667</v>
      </c>
      <c r="K21" s="66">
        <f t="shared" si="5"/>
        <v>1444.50666666667</v>
      </c>
      <c r="L21" s="67">
        <v>10.6</v>
      </c>
    </row>
    <row r="22" ht="23.1" customHeight="1" spans="1:20">
      <c r="A22" s="107"/>
      <c r="B22" s="80" t="s">
        <v>74</v>
      </c>
      <c r="C22" s="63">
        <v>70</v>
      </c>
      <c r="D22" s="120">
        <v>2980</v>
      </c>
      <c r="E22" s="84">
        <v>2430</v>
      </c>
      <c r="F22" s="65">
        <f t="shared" si="0"/>
        <v>9.46291417165669</v>
      </c>
      <c r="G22" s="65">
        <f t="shared" si="1"/>
        <v>8.9012375249501</v>
      </c>
      <c r="H22" s="66">
        <f t="shared" si="2"/>
        <v>8.59385229540918</v>
      </c>
      <c r="I22" s="65">
        <f t="shared" si="3"/>
        <v>1618.72888888889</v>
      </c>
      <c r="J22" s="65">
        <f t="shared" si="4"/>
        <v>1486.50666666667</v>
      </c>
      <c r="K22" s="66">
        <f t="shared" si="5"/>
        <v>1435.17333333333</v>
      </c>
      <c r="L22" s="67">
        <v>10.6</v>
      </c>
    </row>
    <row r="23" ht="23.1" customHeight="1" spans="1:20">
      <c r="A23" s="107"/>
      <c r="B23" s="80" t="s">
        <v>75</v>
      </c>
      <c r="C23" s="63">
        <v>70</v>
      </c>
      <c r="D23" s="120">
        <v>2980</v>
      </c>
      <c r="E23" s="84">
        <v>2430</v>
      </c>
      <c r="F23" s="65">
        <f t="shared" si="0"/>
        <v>9.46291417165669</v>
      </c>
      <c r="G23" s="65">
        <f t="shared" si="1"/>
        <v>8.9012375249501</v>
      </c>
      <c r="H23" s="66">
        <f t="shared" si="2"/>
        <v>8.59385229540918</v>
      </c>
      <c r="I23" s="65">
        <f t="shared" si="3"/>
        <v>1618.72888888889</v>
      </c>
      <c r="J23" s="65">
        <f t="shared" si="4"/>
        <v>1486.50666666667</v>
      </c>
      <c r="K23" s="66">
        <f t="shared" si="5"/>
        <v>1435.17333333333</v>
      </c>
      <c r="L23" s="67">
        <v>10.6</v>
      </c>
    </row>
    <row r="24" ht="23.1" customHeight="1" spans="1:20">
      <c r="A24" s="107" t="s">
        <v>76</v>
      </c>
      <c r="B24" s="62" t="s">
        <v>77</v>
      </c>
      <c r="C24" s="63">
        <v>55</v>
      </c>
      <c r="D24" s="72">
        <v>2180</v>
      </c>
      <c r="E24" s="84">
        <v>1430</v>
      </c>
      <c r="F24" s="65">
        <f t="shared" si="0"/>
        <v>9.16291417165669</v>
      </c>
      <c r="G24" s="65">
        <f t="shared" si="1"/>
        <v>8.45413173652695</v>
      </c>
      <c r="H24" s="66">
        <f t="shared" si="2"/>
        <v>8.03497005988024</v>
      </c>
      <c r="I24" s="65">
        <f t="shared" si="3"/>
        <v>1560.39555555556</v>
      </c>
      <c r="J24" s="65">
        <f t="shared" si="4"/>
        <v>1411.84</v>
      </c>
      <c r="K24" s="66">
        <f t="shared" si="5"/>
        <v>1341.84</v>
      </c>
      <c r="L24" s="67">
        <v>9.8</v>
      </c>
    </row>
    <row r="25" ht="23.1" customHeight="1" spans="1:20">
      <c r="A25" s="107"/>
      <c r="B25" s="62" t="s">
        <v>78</v>
      </c>
      <c r="C25" s="63">
        <v>55</v>
      </c>
      <c r="D25" s="72">
        <v>2180</v>
      </c>
      <c r="E25" s="84"/>
      <c r="F25" s="65">
        <f t="shared" si="0"/>
        <v>9.16291417165669</v>
      </c>
      <c r="G25" s="65">
        <f t="shared" si="1"/>
        <v>8.45413173652695</v>
      </c>
      <c r="H25" s="66" t="str">
        <f t="shared" si="2"/>
        <v/>
      </c>
      <c r="I25" s="65">
        <f t="shared" si="3"/>
        <v>1560.39555555556</v>
      </c>
      <c r="J25" s="65">
        <f t="shared" si="4"/>
        <v>1411.84</v>
      </c>
      <c r="K25" s="66" t="str">
        <f t="shared" si="5"/>
        <v/>
      </c>
      <c r="L25" s="67">
        <v>9.8</v>
      </c>
      <c r="M25" s="7"/>
      <c r="N25" s="7"/>
      <c r="O25" s="7"/>
      <c r="P25" s="7"/>
      <c r="Q25" s="7"/>
      <c r="R25" s="7"/>
      <c r="S25" s="7"/>
      <c r="T25" s="7"/>
    </row>
    <row r="26" ht="23.1" customHeight="1" spans="1:20">
      <c r="A26" s="107"/>
      <c r="B26" s="62" t="s">
        <v>79</v>
      </c>
      <c r="C26" s="63">
        <v>55</v>
      </c>
      <c r="D26" s="72">
        <v>2180</v>
      </c>
      <c r="E26" s="84">
        <v>1430</v>
      </c>
      <c r="F26" s="65">
        <f t="shared" si="0"/>
        <v>9.16291417165669</v>
      </c>
      <c r="G26" s="65">
        <f t="shared" si="1"/>
        <v>8.45413173652695</v>
      </c>
      <c r="H26" s="66">
        <f t="shared" si="2"/>
        <v>8.03497005988024</v>
      </c>
      <c r="I26" s="65">
        <f t="shared" si="3"/>
        <v>1560.39555555556</v>
      </c>
      <c r="J26" s="65">
        <f t="shared" si="4"/>
        <v>1411.84</v>
      </c>
      <c r="K26" s="66">
        <f t="shared" si="5"/>
        <v>1341.84</v>
      </c>
      <c r="L26" s="67">
        <v>9.8</v>
      </c>
    </row>
    <row r="27" ht="23.1" customHeight="1" spans="1:20">
      <c r="A27" s="107"/>
      <c r="B27" s="62" t="s">
        <v>80</v>
      </c>
      <c r="C27" s="63">
        <v>50</v>
      </c>
      <c r="D27" s="72">
        <v>2180</v>
      </c>
      <c r="E27" s="84">
        <v>1480</v>
      </c>
      <c r="F27" s="65">
        <f t="shared" si="0"/>
        <v>9.06291417165669</v>
      </c>
      <c r="G27" s="65">
        <f t="shared" si="1"/>
        <v>8.45413173652695</v>
      </c>
      <c r="H27" s="66">
        <f t="shared" si="2"/>
        <v>8.06291417165669</v>
      </c>
      <c r="I27" s="65">
        <f t="shared" si="3"/>
        <v>1540.95111111111</v>
      </c>
      <c r="J27" s="65">
        <f t="shared" si="4"/>
        <v>1411.84</v>
      </c>
      <c r="K27" s="66">
        <f t="shared" si="5"/>
        <v>1346.50666666667</v>
      </c>
      <c r="L27" s="67"/>
    </row>
    <row r="28" ht="23.1" customHeight="1" spans="1:20">
      <c r="A28" s="107"/>
      <c r="B28" s="62" t="s">
        <v>81</v>
      </c>
      <c r="C28" s="63">
        <v>50</v>
      </c>
      <c r="D28" s="72">
        <v>2180</v>
      </c>
      <c r="E28" s="84"/>
      <c r="F28" s="65">
        <f t="shared" si="0"/>
        <v>9.06291417165669</v>
      </c>
      <c r="G28" s="65">
        <f t="shared" si="1"/>
        <v>8.45413173652695</v>
      </c>
      <c r="H28" s="66" t="str">
        <f t="shared" si="2"/>
        <v/>
      </c>
      <c r="I28" s="65">
        <f t="shared" si="3"/>
        <v>1540.95111111111</v>
      </c>
      <c r="J28" s="65">
        <f t="shared" si="4"/>
        <v>1411.84</v>
      </c>
      <c r="K28" s="66" t="str">
        <f t="shared" si="5"/>
        <v/>
      </c>
      <c r="L28" s="67"/>
    </row>
    <row r="29" ht="23.1" customHeight="1" spans="1:20">
      <c r="A29" s="107"/>
      <c r="B29" s="62" t="s">
        <v>82</v>
      </c>
      <c r="C29" s="63">
        <v>50</v>
      </c>
      <c r="D29" s="72">
        <v>2180</v>
      </c>
      <c r="E29" s="84"/>
      <c r="F29" s="65">
        <f t="shared" si="0"/>
        <v>9.06291417165669</v>
      </c>
      <c r="G29" s="65">
        <f t="shared" si="1"/>
        <v>8.45413173652695</v>
      </c>
      <c r="H29" s="66" t="str">
        <f t="shared" si="2"/>
        <v/>
      </c>
      <c r="I29" s="65">
        <f t="shared" si="3"/>
        <v>1540.95111111111</v>
      </c>
      <c r="J29" s="65">
        <f t="shared" si="4"/>
        <v>1411.84</v>
      </c>
      <c r="K29" s="66" t="str">
        <f t="shared" si="5"/>
        <v/>
      </c>
      <c r="L29" s="67"/>
    </row>
    <row r="30" ht="23.1" customHeight="1" spans="1:20">
      <c r="A30" s="107"/>
      <c r="B30" s="62" t="s">
        <v>83</v>
      </c>
      <c r="C30" s="63">
        <v>65</v>
      </c>
      <c r="D30" s="72">
        <v>2180</v>
      </c>
      <c r="E30" s="84">
        <v>1580</v>
      </c>
      <c r="F30" s="65">
        <f t="shared" si="0"/>
        <v>9.36291417165669</v>
      </c>
      <c r="G30" s="65">
        <f t="shared" si="1"/>
        <v>8.45413173652695</v>
      </c>
      <c r="H30" s="66">
        <f t="shared" si="2"/>
        <v>8.11880239520958</v>
      </c>
      <c r="I30" s="65">
        <f t="shared" si="3"/>
        <v>1599.28444444444</v>
      </c>
      <c r="J30" s="65">
        <f t="shared" si="4"/>
        <v>1411.84</v>
      </c>
      <c r="K30" s="66">
        <f t="shared" si="5"/>
        <v>1355.84</v>
      </c>
      <c r="L30" s="67">
        <v>10.3</v>
      </c>
    </row>
    <row r="31" ht="23.1" customHeight="1" spans="1:20">
      <c r="A31" s="107"/>
      <c r="B31" s="62" t="s">
        <v>84</v>
      </c>
      <c r="C31" s="63">
        <v>65</v>
      </c>
      <c r="D31" s="72">
        <v>2180</v>
      </c>
      <c r="E31" s="84">
        <v>1580</v>
      </c>
      <c r="F31" s="65">
        <f t="shared" si="0"/>
        <v>9.36291417165669</v>
      </c>
      <c r="G31" s="65">
        <f t="shared" si="1"/>
        <v>8.45413173652695</v>
      </c>
      <c r="H31" s="66">
        <f t="shared" si="2"/>
        <v>8.11880239520958</v>
      </c>
      <c r="I31" s="65">
        <f t="shared" si="3"/>
        <v>1599.28444444444</v>
      </c>
      <c r="J31" s="65">
        <f t="shared" si="4"/>
        <v>1411.84</v>
      </c>
      <c r="K31" s="66">
        <f t="shared" si="5"/>
        <v>1355.84</v>
      </c>
      <c r="L31" s="67">
        <v>10.3</v>
      </c>
    </row>
    <row r="32" ht="23.1" customHeight="1" spans="1:20">
      <c r="A32" s="107"/>
      <c r="B32" s="62" t="s">
        <v>85</v>
      </c>
      <c r="C32" s="63">
        <v>65</v>
      </c>
      <c r="D32" s="72">
        <v>2180</v>
      </c>
      <c r="E32" s="84">
        <v>1580</v>
      </c>
      <c r="F32" s="65">
        <f t="shared" si="0"/>
        <v>9.36291417165669</v>
      </c>
      <c r="G32" s="65">
        <f t="shared" si="1"/>
        <v>8.45413173652695</v>
      </c>
      <c r="H32" s="66">
        <f t="shared" si="2"/>
        <v>8.11880239520958</v>
      </c>
      <c r="I32" s="65">
        <f t="shared" si="3"/>
        <v>1599.28444444444</v>
      </c>
      <c r="J32" s="65">
        <f t="shared" si="4"/>
        <v>1411.84</v>
      </c>
      <c r="K32" s="66">
        <f t="shared" si="5"/>
        <v>1355.84</v>
      </c>
      <c r="L32" s="67">
        <v>10.3</v>
      </c>
    </row>
    <row r="33" ht="23.1" customHeight="1" spans="1:12">
      <c r="A33" s="107" t="s">
        <v>86</v>
      </c>
      <c r="B33" s="62" t="s">
        <v>87</v>
      </c>
      <c r="C33" s="63">
        <v>85</v>
      </c>
      <c r="D33" s="72">
        <v>3180</v>
      </c>
      <c r="E33" s="84">
        <v>2750</v>
      </c>
      <c r="F33" s="65">
        <f t="shared" si="0"/>
        <v>9.76291417165669</v>
      </c>
      <c r="G33" s="65">
        <f t="shared" si="1"/>
        <v>9.01301397205589</v>
      </c>
      <c r="H33" s="66">
        <f t="shared" si="2"/>
        <v>8.77269461077844</v>
      </c>
      <c r="I33" s="65">
        <f t="shared" si="3"/>
        <v>1677.06222222222</v>
      </c>
      <c r="J33" s="65">
        <f t="shared" si="4"/>
        <v>1505.17333333333</v>
      </c>
      <c r="K33" s="66">
        <f t="shared" si="5"/>
        <v>1465.04</v>
      </c>
      <c r="L33" s="67">
        <v>10.6</v>
      </c>
    </row>
    <row r="34" ht="23.1" customHeight="1" spans="1:12">
      <c r="A34" s="107"/>
      <c r="B34" s="62" t="s">
        <v>88</v>
      </c>
      <c r="C34" s="63">
        <v>85</v>
      </c>
      <c r="D34" s="72">
        <v>3180</v>
      </c>
      <c r="E34" s="84">
        <v>2750</v>
      </c>
      <c r="F34" s="65">
        <f t="shared" si="0"/>
        <v>9.76291417165669</v>
      </c>
      <c r="G34" s="65">
        <f t="shared" si="1"/>
        <v>9.01301397205589</v>
      </c>
      <c r="H34" s="66">
        <f t="shared" si="2"/>
        <v>8.77269461077844</v>
      </c>
      <c r="I34" s="65">
        <f t="shared" si="3"/>
        <v>1677.06222222222</v>
      </c>
      <c r="J34" s="65">
        <f t="shared" si="4"/>
        <v>1505.17333333333</v>
      </c>
      <c r="K34" s="66">
        <f t="shared" si="5"/>
        <v>1465.04</v>
      </c>
      <c r="L34" s="67">
        <v>10.6</v>
      </c>
    </row>
    <row r="35" ht="23.1" customHeight="1" spans="1:12">
      <c r="A35" s="107"/>
      <c r="B35" s="62" t="s">
        <v>89</v>
      </c>
      <c r="C35" s="63">
        <v>85</v>
      </c>
      <c r="D35" s="72">
        <v>3180</v>
      </c>
      <c r="E35" s="84">
        <v>2500</v>
      </c>
      <c r="F35" s="65">
        <f t="shared" si="0"/>
        <v>9.76291417165669</v>
      </c>
      <c r="G35" s="65">
        <f t="shared" si="1"/>
        <v>9.01301397205589</v>
      </c>
      <c r="H35" s="66">
        <f t="shared" si="2"/>
        <v>8.63297405189621</v>
      </c>
      <c r="I35" s="65">
        <f t="shared" si="3"/>
        <v>1677.06222222222</v>
      </c>
      <c r="J35" s="65">
        <f t="shared" si="4"/>
        <v>1505.17333333333</v>
      </c>
      <c r="K35" s="66">
        <f t="shared" si="5"/>
        <v>1441.70666666667</v>
      </c>
      <c r="L35" s="67">
        <v>10.6</v>
      </c>
    </row>
    <row r="36" ht="23.1" customHeight="1" spans="1:12">
      <c r="A36" s="107"/>
      <c r="B36" s="62" t="s">
        <v>90</v>
      </c>
      <c r="C36" s="63">
        <v>85</v>
      </c>
      <c r="D36" s="72">
        <v>3180</v>
      </c>
      <c r="E36" s="84"/>
      <c r="F36" s="65">
        <f t="shared" si="0"/>
        <v>9.76291417165669</v>
      </c>
      <c r="G36" s="65">
        <f t="shared" si="1"/>
        <v>9.01301397205589</v>
      </c>
      <c r="H36" s="66" t="str">
        <f t="shared" si="2"/>
        <v/>
      </c>
      <c r="I36" s="65">
        <f t="shared" si="3"/>
        <v>1677.06222222222</v>
      </c>
      <c r="J36" s="65">
        <f t="shared" si="4"/>
        <v>1505.17333333333</v>
      </c>
      <c r="K36" s="66" t="str">
        <f t="shared" si="5"/>
        <v/>
      </c>
      <c r="L36" s="67"/>
    </row>
    <row r="37" ht="23.1" customHeight="1" spans="1:12">
      <c r="A37" s="107"/>
      <c r="B37" s="62" t="s">
        <v>91</v>
      </c>
      <c r="C37" s="63">
        <v>85</v>
      </c>
      <c r="D37" s="72">
        <v>3180</v>
      </c>
      <c r="E37" s="84">
        <v>2480</v>
      </c>
      <c r="F37" s="65">
        <f t="shared" si="0"/>
        <v>9.76291417165669</v>
      </c>
      <c r="G37" s="65">
        <f t="shared" si="1"/>
        <v>9.01301397205589</v>
      </c>
      <c r="H37" s="66">
        <f t="shared" si="2"/>
        <v>8.62179640718563</v>
      </c>
      <c r="I37" s="65">
        <f t="shared" si="3"/>
        <v>1677.06222222222</v>
      </c>
      <c r="J37" s="65">
        <f t="shared" si="4"/>
        <v>1505.17333333333</v>
      </c>
      <c r="K37" s="66">
        <f t="shared" si="5"/>
        <v>1439.84</v>
      </c>
      <c r="L37" s="67"/>
    </row>
    <row r="38" ht="23.1" customHeight="1" spans="1:12">
      <c r="A38" s="107"/>
      <c r="B38" s="62" t="s">
        <v>92</v>
      </c>
      <c r="C38" s="63">
        <v>85</v>
      </c>
      <c r="D38" s="72">
        <v>3180</v>
      </c>
      <c r="E38" s="84"/>
      <c r="F38" s="65">
        <f t="shared" si="0"/>
        <v>9.76291417165669</v>
      </c>
      <c r="G38" s="65">
        <f t="shared" si="1"/>
        <v>9.01301397205589</v>
      </c>
      <c r="H38" s="66" t="str">
        <f t="shared" si="2"/>
        <v/>
      </c>
      <c r="I38" s="65">
        <f t="shared" si="3"/>
        <v>1677.06222222222</v>
      </c>
      <c r="J38" s="65">
        <f t="shared" si="4"/>
        <v>1505.17333333333</v>
      </c>
      <c r="K38" s="66" t="str">
        <f t="shared" si="5"/>
        <v/>
      </c>
      <c r="L38" s="67"/>
    </row>
    <row r="39" ht="23.1" customHeight="1" spans="1:12">
      <c r="A39" s="107"/>
      <c r="B39" s="62" t="s">
        <v>93</v>
      </c>
      <c r="C39" s="63">
        <v>85</v>
      </c>
      <c r="D39" s="72">
        <v>3180</v>
      </c>
      <c r="E39" s="84"/>
      <c r="F39" s="65">
        <f t="shared" si="0"/>
        <v>9.76291417165669</v>
      </c>
      <c r="G39" s="65">
        <f t="shared" si="1"/>
        <v>9.01301397205589</v>
      </c>
      <c r="H39" s="66" t="str">
        <f t="shared" si="2"/>
        <v/>
      </c>
      <c r="I39" s="65">
        <f t="shared" si="3"/>
        <v>1677.06222222222</v>
      </c>
      <c r="J39" s="65">
        <f t="shared" si="4"/>
        <v>1505.17333333333</v>
      </c>
      <c r="K39" s="66" t="str">
        <f t="shared" si="5"/>
        <v/>
      </c>
      <c r="L39" s="67">
        <v>10.6</v>
      </c>
    </row>
    <row r="40" ht="23.1" customHeight="1" spans="1:12">
      <c r="A40" s="107"/>
      <c r="B40" s="62" t="s">
        <v>94</v>
      </c>
      <c r="C40" s="63">
        <v>85</v>
      </c>
      <c r="D40" s="72">
        <v>3180</v>
      </c>
      <c r="E40" s="84">
        <v>2750</v>
      </c>
      <c r="F40" s="65">
        <f t="shared" si="0"/>
        <v>9.76291417165669</v>
      </c>
      <c r="G40" s="65">
        <f t="shared" si="1"/>
        <v>9.01301397205589</v>
      </c>
      <c r="H40" s="66">
        <f t="shared" si="2"/>
        <v>8.77269461077844</v>
      </c>
      <c r="I40" s="65">
        <f t="shared" si="3"/>
        <v>1677.06222222222</v>
      </c>
      <c r="J40" s="65">
        <f t="shared" si="4"/>
        <v>1505.17333333333</v>
      </c>
      <c r="K40" s="66">
        <f t="shared" si="5"/>
        <v>1465.04</v>
      </c>
      <c r="L40" s="67"/>
    </row>
    <row r="41" ht="23.1" customHeight="1" spans="1:12">
      <c r="A41" s="107"/>
      <c r="B41" s="62" t="s">
        <v>95</v>
      </c>
      <c r="C41" s="63">
        <v>85</v>
      </c>
      <c r="D41" s="72">
        <v>3180</v>
      </c>
      <c r="E41" s="84">
        <v>2730</v>
      </c>
      <c r="F41" s="65">
        <f t="shared" si="0"/>
        <v>9.76291417165669</v>
      </c>
      <c r="G41" s="65">
        <f t="shared" si="1"/>
        <v>9.01301397205589</v>
      </c>
      <c r="H41" s="66">
        <f t="shared" si="2"/>
        <v>8.76151696606786</v>
      </c>
      <c r="I41" s="65">
        <f t="shared" si="3"/>
        <v>1677.06222222222</v>
      </c>
      <c r="J41" s="65">
        <f t="shared" si="4"/>
        <v>1505.17333333333</v>
      </c>
      <c r="K41" s="66">
        <f t="shared" si="5"/>
        <v>1463.17333333333</v>
      </c>
      <c r="L41" s="67">
        <v>10.6</v>
      </c>
    </row>
    <row r="42" ht="23.1" customHeight="1" spans="1:12">
      <c r="A42" s="107"/>
      <c r="B42" s="62" t="s">
        <v>257</v>
      </c>
      <c r="C42" s="63">
        <v>85</v>
      </c>
      <c r="D42" s="72">
        <v>3180</v>
      </c>
      <c r="E42" s="84">
        <v>2730</v>
      </c>
      <c r="F42" s="65">
        <f t="shared" si="0"/>
        <v>9.76291417165669</v>
      </c>
      <c r="G42" s="65">
        <f t="shared" si="1"/>
        <v>9.01301397205589</v>
      </c>
      <c r="H42" s="66">
        <f t="shared" si="2"/>
        <v>8.76151696606786</v>
      </c>
      <c r="I42" s="65">
        <f t="shared" si="3"/>
        <v>1677.06222222222</v>
      </c>
      <c r="J42" s="65">
        <f t="shared" si="4"/>
        <v>1505.17333333333</v>
      </c>
      <c r="K42" s="66">
        <f t="shared" si="5"/>
        <v>1463.17333333333</v>
      </c>
      <c r="L42" s="67">
        <v>10.6</v>
      </c>
    </row>
    <row r="43" ht="23.1" customHeight="1" spans="1:12">
      <c r="A43" s="109" t="s">
        <v>97</v>
      </c>
      <c r="B43" s="80" t="s">
        <v>98</v>
      </c>
      <c r="C43" s="63">
        <v>160</v>
      </c>
      <c r="D43" s="120">
        <v>5380</v>
      </c>
      <c r="E43" s="84"/>
      <c r="F43" s="65">
        <f t="shared" si="0"/>
        <v>11.2629141716567</v>
      </c>
      <c r="G43" s="65">
        <f t="shared" si="1"/>
        <v>10.2425548902196</v>
      </c>
      <c r="H43" s="66" t="str">
        <f t="shared" si="2"/>
        <v/>
      </c>
      <c r="I43" s="65">
        <f t="shared" si="3"/>
        <v>1968.72888888889</v>
      </c>
      <c r="J43" s="65">
        <f t="shared" si="4"/>
        <v>1710.50666666667</v>
      </c>
      <c r="K43" s="66" t="str">
        <f t="shared" si="5"/>
        <v/>
      </c>
      <c r="L43" s="67"/>
    </row>
    <row r="44" ht="23.1" customHeight="1" spans="1:12">
      <c r="A44" s="109"/>
      <c r="B44" s="80" t="s">
        <v>99</v>
      </c>
      <c r="C44" s="63">
        <v>170</v>
      </c>
      <c r="D44" s="120">
        <v>5380</v>
      </c>
      <c r="E44" s="84"/>
      <c r="F44" s="65">
        <f t="shared" si="0"/>
        <v>11.4629141716567</v>
      </c>
      <c r="G44" s="65">
        <f t="shared" si="1"/>
        <v>10.2425548902196</v>
      </c>
      <c r="H44" s="66" t="str">
        <f t="shared" si="2"/>
        <v/>
      </c>
      <c r="I44" s="65">
        <f t="shared" si="3"/>
        <v>2007.61777777778</v>
      </c>
      <c r="J44" s="65">
        <f t="shared" si="4"/>
        <v>1710.50666666667</v>
      </c>
      <c r="K44" s="66" t="str">
        <f t="shared" si="5"/>
        <v/>
      </c>
      <c r="L44" s="67"/>
    </row>
    <row r="45" ht="23.1" customHeight="1" spans="1:12">
      <c r="A45" s="109"/>
      <c r="B45" s="80" t="s">
        <v>100</v>
      </c>
      <c r="C45" s="63">
        <v>190</v>
      </c>
      <c r="D45" s="120">
        <v>5380</v>
      </c>
      <c r="E45" s="84"/>
      <c r="F45" s="65">
        <f t="shared" si="0"/>
        <v>11.8629141716567</v>
      </c>
      <c r="G45" s="65">
        <f t="shared" si="1"/>
        <v>10.2425548902196</v>
      </c>
      <c r="H45" s="66" t="str">
        <f t="shared" si="2"/>
        <v/>
      </c>
      <c r="I45" s="65">
        <f t="shared" si="3"/>
        <v>2085.39555555556</v>
      </c>
      <c r="J45" s="65">
        <f t="shared" si="4"/>
        <v>1710.50666666667</v>
      </c>
      <c r="K45" s="66" t="str">
        <f t="shared" si="5"/>
        <v/>
      </c>
      <c r="L45" s="67">
        <v>12.9</v>
      </c>
    </row>
    <row r="46" ht="23.1" customHeight="1" spans="1:12">
      <c r="A46" s="109"/>
      <c r="B46" s="80" t="s">
        <v>101</v>
      </c>
      <c r="C46" s="63">
        <v>160</v>
      </c>
      <c r="D46" s="120">
        <v>5380</v>
      </c>
      <c r="E46" s="84">
        <v>4280</v>
      </c>
      <c r="F46" s="65">
        <f t="shared" ref="F46:F77" si="6">$J$12+(C46*$J$10/$L$10)</f>
        <v>11.2629141716567</v>
      </c>
      <c r="G46" s="65">
        <f t="shared" ref="G46:G77" si="7">IF(D46="","",($J$11-$H$7+D46)*$J$10/$H$12)</f>
        <v>10.2425548902196</v>
      </c>
      <c r="H46" s="66">
        <f t="shared" ref="H46:H77" si="8">IF(E46="","",($J$11-$H$7+E46)*$J$10/$H$12)</f>
        <v>9.62778443113773</v>
      </c>
      <c r="I46" s="65">
        <f t="shared" ref="I46:I77" si="9">$F$12+(C46*$J$10/$L$12)</f>
        <v>1968.72888888889</v>
      </c>
      <c r="J46" s="65">
        <f t="shared" ref="J46:J77" si="10">IF(D46="","",($J$11-$H$7+D46)*$J$10/$B$12)</f>
        <v>1710.50666666667</v>
      </c>
      <c r="K46" s="66">
        <f t="shared" ref="K46:K77" si="11">IF(E46="","",($J$11-$H$7+E46)*$J$10/$B$12)</f>
        <v>1607.84</v>
      </c>
      <c r="L46" s="67">
        <v>12.4</v>
      </c>
    </row>
    <row r="47" ht="23.1" customHeight="1" spans="1:12">
      <c r="A47" s="108" t="s">
        <v>102</v>
      </c>
      <c r="B47" s="80" t="s">
        <v>103</v>
      </c>
      <c r="C47" s="63">
        <v>215</v>
      </c>
      <c r="D47" s="120">
        <v>6380</v>
      </c>
      <c r="E47" s="84"/>
      <c r="F47" s="65">
        <f t="shared" si="6"/>
        <v>12.3629141716567</v>
      </c>
      <c r="G47" s="65">
        <f t="shared" si="7"/>
        <v>10.8014371257485</v>
      </c>
      <c r="H47" s="66" t="str">
        <f t="shared" si="8"/>
        <v/>
      </c>
      <c r="I47" s="65">
        <f t="shared" si="9"/>
        <v>2182.61777777778</v>
      </c>
      <c r="J47" s="65">
        <f t="shared" si="10"/>
        <v>1803.84</v>
      </c>
      <c r="K47" s="66" t="str">
        <f t="shared" si="11"/>
        <v/>
      </c>
      <c r="L47" s="67">
        <v>12.9</v>
      </c>
    </row>
    <row r="48" ht="23.1" customHeight="1" spans="1:12">
      <c r="A48" s="108"/>
      <c r="B48" s="80" t="s">
        <v>104</v>
      </c>
      <c r="C48" s="63">
        <v>150</v>
      </c>
      <c r="D48" s="120">
        <v>5380</v>
      </c>
      <c r="E48" s="84"/>
      <c r="F48" s="65">
        <f t="shared" si="6"/>
        <v>11.0629141716567</v>
      </c>
      <c r="G48" s="65">
        <f t="shared" si="7"/>
        <v>10.2425548902196</v>
      </c>
      <c r="H48" s="66" t="str">
        <f t="shared" si="8"/>
        <v/>
      </c>
      <c r="I48" s="65">
        <f t="shared" si="9"/>
        <v>1929.84</v>
      </c>
      <c r="J48" s="65">
        <f t="shared" si="10"/>
        <v>1710.50666666667</v>
      </c>
      <c r="K48" s="66" t="str">
        <f t="shared" si="11"/>
        <v/>
      </c>
      <c r="L48" s="67">
        <v>12.4</v>
      </c>
    </row>
    <row r="49" ht="23.1" customHeight="1" spans="1:12">
      <c r="A49" s="108"/>
      <c r="B49" s="80" t="s">
        <v>105</v>
      </c>
      <c r="C49" s="63">
        <v>190</v>
      </c>
      <c r="D49" s="120">
        <v>6380</v>
      </c>
      <c r="E49" s="84"/>
      <c r="F49" s="65">
        <f t="shared" si="6"/>
        <v>11.8629141716567</v>
      </c>
      <c r="G49" s="65">
        <f t="shared" si="7"/>
        <v>10.8014371257485</v>
      </c>
      <c r="H49" s="66" t="str">
        <f t="shared" si="8"/>
        <v/>
      </c>
      <c r="I49" s="65">
        <f t="shared" si="9"/>
        <v>2085.39555555556</v>
      </c>
      <c r="J49" s="65">
        <f t="shared" si="10"/>
        <v>1803.84</v>
      </c>
      <c r="K49" s="66" t="str">
        <f t="shared" si="11"/>
        <v/>
      </c>
      <c r="L49" s="67">
        <v>12.9</v>
      </c>
    </row>
    <row r="50" ht="23.1" customHeight="1" spans="1:12">
      <c r="A50" s="108"/>
      <c r="B50" s="62" t="s">
        <v>106</v>
      </c>
      <c r="C50" s="63">
        <v>190</v>
      </c>
      <c r="D50" s="120">
        <v>6380</v>
      </c>
      <c r="E50" s="84"/>
      <c r="F50" s="65">
        <f t="shared" si="6"/>
        <v>11.8629141716567</v>
      </c>
      <c r="G50" s="65">
        <f t="shared" si="7"/>
        <v>10.8014371257485</v>
      </c>
      <c r="H50" s="66" t="str">
        <f t="shared" si="8"/>
        <v/>
      </c>
      <c r="I50" s="65">
        <f t="shared" si="9"/>
        <v>2085.39555555556</v>
      </c>
      <c r="J50" s="65">
        <f t="shared" si="10"/>
        <v>1803.84</v>
      </c>
      <c r="K50" s="66" t="str">
        <f t="shared" si="11"/>
        <v/>
      </c>
      <c r="L50" s="67">
        <v>12.9</v>
      </c>
    </row>
    <row r="51" ht="23.1" customHeight="1" spans="1:12">
      <c r="A51" s="108"/>
      <c r="B51" s="80" t="s">
        <v>107</v>
      </c>
      <c r="C51" s="63">
        <v>190</v>
      </c>
      <c r="D51" s="120">
        <v>6380</v>
      </c>
      <c r="E51" s="84"/>
      <c r="F51" s="65">
        <f t="shared" si="6"/>
        <v>11.8629141716567</v>
      </c>
      <c r="G51" s="65">
        <f t="shared" si="7"/>
        <v>10.8014371257485</v>
      </c>
      <c r="H51" s="66" t="str">
        <f t="shared" si="8"/>
        <v/>
      </c>
      <c r="I51" s="65">
        <f t="shared" si="9"/>
        <v>2085.39555555556</v>
      </c>
      <c r="J51" s="65">
        <f t="shared" si="10"/>
        <v>1803.84</v>
      </c>
      <c r="K51" s="66" t="str">
        <f t="shared" si="11"/>
        <v/>
      </c>
      <c r="L51" s="67">
        <v>12.9</v>
      </c>
    </row>
    <row r="52" ht="23.1" customHeight="1" spans="1:12">
      <c r="A52" s="108"/>
      <c r="B52" s="80" t="s">
        <v>108</v>
      </c>
      <c r="C52" s="63">
        <v>190</v>
      </c>
      <c r="D52" s="120">
        <v>6380</v>
      </c>
      <c r="E52" s="84"/>
      <c r="F52" s="65">
        <f t="shared" si="6"/>
        <v>11.8629141716567</v>
      </c>
      <c r="G52" s="65">
        <f t="shared" si="7"/>
        <v>10.8014371257485</v>
      </c>
      <c r="H52" s="66" t="str">
        <f t="shared" si="8"/>
        <v/>
      </c>
      <c r="I52" s="65">
        <f t="shared" si="9"/>
        <v>2085.39555555556</v>
      </c>
      <c r="J52" s="65">
        <f t="shared" si="10"/>
        <v>1803.84</v>
      </c>
      <c r="K52" s="66" t="str">
        <f t="shared" si="11"/>
        <v/>
      </c>
      <c r="L52" s="67">
        <v>12.9</v>
      </c>
    </row>
    <row r="53" ht="23.1" customHeight="1" spans="1:12">
      <c r="A53" s="107" t="s">
        <v>109</v>
      </c>
      <c r="B53" s="62" t="s">
        <v>110</v>
      </c>
      <c r="C53" s="63">
        <v>180</v>
      </c>
      <c r="D53" s="72">
        <v>5880</v>
      </c>
      <c r="E53" s="84"/>
      <c r="F53" s="65">
        <f t="shared" si="6"/>
        <v>11.6629141716567</v>
      </c>
      <c r="G53" s="65">
        <f t="shared" si="7"/>
        <v>10.521996007984</v>
      </c>
      <c r="H53" s="66" t="str">
        <f t="shared" si="8"/>
        <v/>
      </c>
      <c r="I53" s="65">
        <f t="shared" si="9"/>
        <v>2046.50666666667</v>
      </c>
      <c r="J53" s="65">
        <f t="shared" si="10"/>
        <v>1757.17333333333</v>
      </c>
      <c r="K53" s="66" t="str">
        <f t="shared" si="11"/>
        <v/>
      </c>
      <c r="L53" s="67"/>
    </row>
    <row r="54" ht="23.1" customHeight="1" spans="1:12">
      <c r="A54" s="107"/>
      <c r="B54" s="62" t="s">
        <v>111</v>
      </c>
      <c r="C54" s="63">
        <v>180</v>
      </c>
      <c r="D54" s="72">
        <v>5880</v>
      </c>
      <c r="E54" s="84"/>
      <c r="F54" s="65">
        <f t="shared" si="6"/>
        <v>11.6629141716567</v>
      </c>
      <c r="G54" s="65">
        <f t="shared" si="7"/>
        <v>10.521996007984</v>
      </c>
      <c r="H54" s="66" t="str">
        <f t="shared" si="8"/>
        <v/>
      </c>
      <c r="I54" s="65">
        <f t="shared" si="9"/>
        <v>2046.50666666667</v>
      </c>
      <c r="J54" s="65">
        <f t="shared" si="10"/>
        <v>1757.17333333333</v>
      </c>
      <c r="K54" s="66" t="str">
        <f t="shared" si="11"/>
        <v/>
      </c>
      <c r="L54" s="67">
        <v>12.9</v>
      </c>
    </row>
    <row r="55" ht="23.1" customHeight="1" spans="1:12">
      <c r="A55" s="107"/>
      <c r="B55" s="62" t="s">
        <v>112</v>
      </c>
      <c r="C55" s="63">
        <v>180</v>
      </c>
      <c r="D55" s="72">
        <v>5880</v>
      </c>
      <c r="E55" s="84"/>
      <c r="F55" s="65">
        <f t="shared" si="6"/>
        <v>11.6629141716567</v>
      </c>
      <c r="G55" s="65">
        <f t="shared" si="7"/>
        <v>10.521996007984</v>
      </c>
      <c r="H55" s="66" t="str">
        <f t="shared" si="8"/>
        <v/>
      </c>
      <c r="I55" s="65">
        <f t="shared" si="9"/>
        <v>2046.50666666667</v>
      </c>
      <c r="J55" s="65">
        <f t="shared" si="10"/>
        <v>1757.17333333333</v>
      </c>
      <c r="K55" s="66" t="str">
        <f t="shared" si="11"/>
        <v/>
      </c>
      <c r="L55" s="67"/>
    </row>
    <row r="56" ht="23.1" customHeight="1" spans="1:12">
      <c r="A56" s="107"/>
      <c r="B56" s="62" t="s">
        <v>113</v>
      </c>
      <c r="C56" s="63">
        <v>195</v>
      </c>
      <c r="D56" s="72">
        <v>5880</v>
      </c>
      <c r="E56" s="84"/>
      <c r="F56" s="65">
        <f t="shared" si="6"/>
        <v>11.9629141716567</v>
      </c>
      <c r="G56" s="65">
        <f t="shared" si="7"/>
        <v>10.521996007984</v>
      </c>
      <c r="H56" s="66" t="str">
        <f t="shared" si="8"/>
        <v/>
      </c>
      <c r="I56" s="65">
        <f t="shared" si="9"/>
        <v>2104.84</v>
      </c>
      <c r="J56" s="65">
        <f t="shared" si="10"/>
        <v>1757.17333333333</v>
      </c>
      <c r="K56" s="66" t="str">
        <f t="shared" si="11"/>
        <v/>
      </c>
      <c r="L56" s="67"/>
    </row>
    <row r="57" ht="23.1" customHeight="1" spans="1:12">
      <c r="A57" s="107"/>
      <c r="B57" s="62" t="s">
        <v>114</v>
      </c>
      <c r="C57" s="63">
        <v>130</v>
      </c>
      <c r="D57" s="72">
        <v>5880</v>
      </c>
      <c r="E57" s="84"/>
      <c r="F57" s="65">
        <f t="shared" si="6"/>
        <v>10.6629141716567</v>
      </c>
      <c r="G57" s="65">
        <f t="shared" si="7"/>
        <v>10.521996007984</v>
      </c>
      <c r="H57" s="66" t="str">
        <f t="shared" si="8"/>
        <v/>
      </c>
      <c r="I57" s="65">
        <f t="shared" si="9"/>
        <v>1852.06222222222</v>
      </c>
      <c r="J57" s="65">
        <f t="shared" si="10"/>
        <v>1757.17333333333</v>
      </c>
      <c r="K57" s="66" t="str">
        <f t="shared" si="11"/>
        <v/>
      </c>
      <c r="L57" s="67"/>
    </row>
    <row r="58" ht="23.1" customHeight="1" spans="1:12">
      <c r="A58" s="107"/>
      <c r="B58" s="62" t="s">
        <v>115</v>
      </c>
      <c r="C58" s="63">
        <v>195</v>
      </c>
      <c r="D58" s="72">
        <v>5880</v>
      </c>
      <c r="E58" s="84"/>
      <c r="F58" s="65">
        <f t="shared" si="6"/>
        <v>11.9629141716567</v>
      </c>
      <c r="G58" s="65">
        <f t="shared" si="7"/>
        <v>10.521996007984</v>
      </c>
      <c r="H58" s="66" t="str">
        <f t="shared" si="8"/>
        <v/>
      </c>
      <c r="I58" s="65">
        <f t="shared" si="9"/>
        <v>2104.84</v>
      </c>
      <c r="J58" s="65">
        <f t="shared" si="10"/>
        <v>1757.17333333333</v>
      </c>
      <c r="K58" s="66" t="str">
        <f t="shared" si="11"/>
        <v/>
      </c>
      <c r="L58" s="67"/>
    </row>
    <row r="59" ht="23.1" customHeight="1" spans="1:12">
      <c r="A59" s="107"/>
      <c r="B59" s="62" t="s">
        <v>116</v>
      </c>
      <c r="C59" s="63">
        <v>195</v>
      </c>
      <c r="D59" s="72">
        <v>5880</v>
      </c>
      <c r="E59" s="84"/>
      <c r="F59" s="65">
        <f t="shared" si="6"/>
        <v>11.9629141716567</v>
      </c>
      <c r="G59" s="65">
        <f t="shared" si="7"/>
        <v>10.521996007984</v>
      </c>
      <c r="H59" s="66" t="str">
        <f t="shared" si="8"/>
        <v/>
      </c>
      <c r="I59" s="65">
        <f t="shared" si="9"/>
        <v>2104.84</v>
      </c>
      <c r="J59" s="65">
        <f t="shared" si="10"/>
        <v>1757.17333333333</v>
      </c>
      <c r="K59" s="66" t="str">
        <f t="shared" si="11"/>
        <v/>
      </c>
      <c r="L59" s="67"/>
    </row>
    <row r="60" ht="23.1" customHeight="1" spans="1:12">
      <c r="A60" s="107"/>
      <c r="B60" s="62" t="s">
        <v>117</v>
      </c>
      <c r="C60" s="63">
        <v>130</v>
      </c>
      <c r="D60" s="72">
        <v>5880</v>
      </c>
      <c r="E60" s="84"/>
      <c r="F60" s="65">
        <f t="shared" si="6"/>
        <v>10.6629141716567</v>
      </c>
      <c r="G60" s="65">
        <f t="shared" si="7"/>
        <v>10.521996007984</v>
      </c>
      <c r="H60" s="66" t="str">
        <f t="shared" si="8"/>
        <v/>
      </c>
      <c r="I60" s="65">
        <f t="shared" si="9"/>
        <v>1852.06222222222</v>
      </c>
      <c r="J60" s="65">
        <f t="shared" si="10"/>
        <v>1757.17333333333</v>
      </c>
      <c r="K60" s="66" t="str">
        <f t="shared" si="11"/>
        <v/>
      </c>
      <c r="L60" s="67"/>
    </row>
    <row r="61" ht="23.1" customHeight="1" spans="1:12">
      <c r="A61" s="107"/>
      <c r="B61" s="62" t="s">
        <v>118</v>
      </c>
      <c r="C61" s="63">
        <v>195</v>
      </c>
      <c r="D61" s="72">
        <v>7280</v>
      </c>
      <c r="E61" s="84"/>
      <c r="F61" s="65">
        <f t="shared" si="6"/>
        <v>11.9629141716567</v>
      </c>
      <c r="G61" s="65">
        <f t="shared" si="7"/>
        <v>11.3044311377246</v>
      </c>
      <c r="H61" s="66" t="str">
        <f t="shared" si="8"/>
        <v/>
      </c>
      <c r="I61" s="65">
        <f t="shared" si="9"/>
        <v>2104.84</v>
      </c>
      <c r="J61" s="65">
        <f t="shared" si="10"/>
        <v>1887.84</v>
      </c>
      <c r="K61" s="66" t="str">
        <f t="shared" si="11"/>
        <v/>
      </c>
      <c r="L61" s="67"/>
    </row>
    <row r="62" ht="23.1" customHeight="1" spans="1:12">
      <c r="A62" s="107"/>
      <c r="B62" s="62" t="s">
        <v>119</v>
      </c>
      <c r="C62" s="63">
        <v>190</v>
      </c>
      <c r="D62" s="72">
        <v>7280</v>
      </c>
      <c r="E62" s="84"/>
      <c r="F62" s="65">
        <f t="shared" si="6"/>
        <v>11.8629141716567</v>
      </c>
      <c r="G62" s="65">
        <f t="shared" si="7"/>
        <v>11.3044311377246</v>
      </c>
      <c r="H62" s="66" t="str">
        <f t="shared" si="8"/>
        <v/>
      </c>
      <c r="I62" s="65">
        <f t="shared" si="9"/>
        <v>2085.39555555556</v>
      </c>
      <c r="J62" s="65">
        <f t="shared" si="10"/>
        <v>1887.84</v>
      </c>
      <c r="K62" s="66" t="str">
        <f t="shared" si="11"/>
        <v/>
      </c>
      <c r="L62" s="67">
        <v>12.9</v>
      </c>
    </row>
    <row r="63" ht="23.1" customHeight="1" spans="1:12">
      <c r="A63" s="107"/>
      <c r="B63" s="62" t="s">
        <v>120</v>
      </c>
      <c r="C63" s="63">
        <v>220</v>
      </c>
      <c r="D63" s="72">
        <v>7280</v>
      </c>
      <c r="E63" s="84"/>
      <c r="F63" s="65">
        <f t="shared" si="6"/>
        <v>12.4629141716567</v>
      </c>
      <c r="G63" s="65">
        <f t="shared" si="7"/>
        <v>11.3044311377246</v>
      </c>
      <c r="H63" s="66" t="str">
        <f t="shared" si="8"/>
        <v/>
      </c>
      <c r="I63" s="65">
        <f t="shared" si="9"/>
        <v>2202.06222222222</v>
      </c>
      <c r="J63" s="65">
        <f t="shared" si="10"/>
        <v>1887.84</v>
      </c>
      <c r="K63" s="66" t="str">
        <f t="shared" si="11"/>
        <v/>
      </c>
      <c r="L63" s="67">
        <v>12.9</v>
      </c>
    </row>
    <row r="64" ht="23.1" customHeight="1" spans="1:12">
      <c r="A64" s="107"/>
      <c r="B64" s="62" t="s">
        <v>121</v>
      </c>
      <c r="C64" s="63">
        <v>190</v>
      </c>
      <c r="D64" s="72">
        <v>7280</v>
      </c>
      <c r="E64" s="84"/>
      <c r="F64" s="65">
        <f t="shared" si="6"/>
        <v>11.8629141716567</v>
      </c>
      <c r="G64" s="65">
        <f t="shared" si="7"/>
        <v>11.3044311377246</v>
      </c>
      <c r="H64" s="66" t="str">
        <f t="shared" si="8"/>
        <v/>
      </c>
      <c r="I64" s="65">
        <f t="shared" si="9"/>
        <v>2085.39555555556</v>
      </c>
      <c r="J64" s="65">
        <f t="shared" si="10"/>
        <v>1887.84</v>
      </c>
      <c r="K64" s="66" t="str">
        <f t="shared" si="11"/>
        <v/>
      </c>
      <c r="L64" s="67"/>
    </row>
    <row r="65" ht="23.1" customHeight="1" spans="1:12">
      <c r="A65" s="107"/>
      <c r="B65" s="62" t="s">
        <v>122</v>
      </c>
      <c r="C65" s="63">
        <v>190</v>
      </c>
      <c r="D65" s="72">
        <v>7280</v>
      </c>
      <c r="E65" s="84"/>
      <c r="F65" s="65">
        <f t="shared" si="6"/>
        <v>11.8629141716567</v>
      </c>
      <c r="G65" s="65">
        <f t="shared" si="7"/>
        <v>11.3044311377246</v>
      </c>
      <c r="H65" s="66" t="str">
        <f t="shared" si="8"/>
        <v/>
      </c>
      <c r="I65" s="65">
        <f t="shared" si="9"/>
        <v>2085.39555555556</v>
      </c>
      <c r="J65" s="65">
        <f t="shared" si="10"/>
        <v>1887.84</v>
      </c>
      <c r="K65" s="66" t="str">
        <f t="shared" si="11"/>
        <v/>
      </c>
      <c r="L65" s="67"/>
    </row>
    <row r="66" ht="23.1" customHeight="1" spans="1:12">
      <c r="A66" s="107"/>
      <c r="B66" s="62" t="s">
        <v>123</v>
      </c>
      <c r="C66" s="63">
        <v>225</v>
      </c>
      <c r="D66" s="72">
        <v>7280</v>
      </c>
      <c r="E66" s="84"/>
      <c r="F66" s="65">
        <f t="shared" si="6"/>
        <v>12.5629141716567</v>
      </c>
      <c r="G66" s="65">
        <f t="shared" si="7"/>
        <v>11.3044311377246</v>
      </c>
      <c r="H66" s="66" t="str">
        <f t="shared" si="8"/>
        <v/>
      </c>
      <c r="I66" s="65">
        <f t="shared" si="9"/>
        <v>2221.50666666667</v>
      </c>
      <c r="J66" s="65">
        <f t="shared" si="10"/>
        <v>1887.84</v>
      </c>
      <c r="K66" s="66" t="str">
        <f t="shared" si="11"/>
        <v/>
      </c>
      <c r="L66" s="67"/>
    </row>
    <row r="67" ht="23.1" customHeight="1" spans="1:12">
      <c r="A67" s="107"/>
      <c r="B67" s="62" t="s">
        <v>124</v>
      </c>
      <c r="C67" s="63">
        <v>225</v>
      </c>
      <c r="D67" s="72">
        <v>7280</v>
      </c>
      <c r="E67" s="84"/>
      <c r="F67" s="65">
        <f t="shared" si="6"/>
        <v>12.5629141716567</v>
      </c>
      <c r="G67" s="65">
        <f t="shared" si="7"/>
        <v>11.3044311377246</v>
      </c>
      <c r="H67" s="66" t="str">
        <f t="shared" si="8"/>
        <v/>
      </c>
      <c r="I67" s="65">
        <f t="shared" si="9"/>
        <v>2221.50666666667</v>
      </c>
      <c r="J67" s="65">
        <f t="shared" si="10"/>
        <v>1887.84</v>
      </c>
      <c r="K67" s="66" t="str">
        <f t="shared" si="11"/>
        <v/>
      </c>
      <c r="L67" s="67"/>
    </row>
    <row r="68" ht="23.1" customHeight="1" spans="1:12">
      <c r="A68" s="107"/>
      <c r="B68" s="62" t="s">
        <v>125</v>
      </c>
      <c r="C68" s="63">
        <v>190</v>
      </c>
      <c r="D68" s="72">
        <v>7280</v>
      </c>
      <c r="E68" s="84"/>
      <c r="F68" s="65">
        <f t="shared" si="6"/>
        <v>11.8629141716567</v>
      </c>
      <c r="G68" s="65">
        <f t="shared" si="7"/>
        <v>11.3044311377246</v>
      </c>
      <c r="H68" s="66" t="str">
        <f t="shared" si="8"/>
        <v/>
      </c>
      <c r="I68" s="65">
        <f t="shared" si="9"/>
        <v>2085.39555555556</v>
      </c>
      <c r="J68" s="65">
        <f t="shared" si="10"/>
        <v>1887.84</v>
      </c>
      <c r="K68" s="66" t="str">
        <f t="shared" si="11"/>
        <v/>
      </c>
      <c r="L68" s="67"/>
    </row>
    <row r="69" ht="23.1" customHeight="1" spans="1:12">
      <c r="A69" s="107"/>
      <c r="B69" s="62" t="s">
        <v>126</v>
      </c>
      <c r="C69" s="63">
        <v>235</v>
      </c>
      <c r="D69" s="72">
        <v>7280</v>
      </c>
      <c r="E69" s="84"/>
      <c r="F69" s="65">
        <f t="shared" si="6"/>
        <v>12.7629141716567</v>
      </c>
      <c r="G69" s="65">
        <f t="shared" si="7"/>
        <v>11.3044311377246</v>
      </c>
      <c r="H69" s="66" t="str">
        <f t="shared" si="8"/>
        <v/>
      </c>
      <c r="I69" s="65">
        <f t="shared" si="9"/>
        <v>2260.39555555556</v>
      </c>
      <c r="J69" s="65">
        <f t="shared" si="10"/>
        <v>1887.84</v>
      </c>
      <c r="K69" s="66" t="str">
        <f t="shared" si="11"/>
        <v/>
      </c>
      <c r="L69" s="67">
        <v>14.1</v>
      </c>
    </row>
    <row r="70" ht="23.1" customHeight="1" spans="1:12">
      <c r="A70" s="107"/>
      <c r="B70" s="62" t="s">
        <v>127</v>
      </c>
      <c r="C70" s="63">
        <v>215</v>
      </c>
      <c r="D70" s="72">
        <v>7280</v>
      </c>
      <c r="E70" s="84"/>
      <c r="F70" s="65">
        <f t="shared" si="6"/>
        <v>12.3629141716567</v>
      </c>
      <c r="G70" s="65">
        <f t="shared" si="7"/>
        <v>11.3044311377246</v>
      </c>
      <c r="H70" s="66" t="str">
        <f t="shared" si="8"/>
        <v/>
      </c>
      <c r="I70" s="65">
        <f t="shared" si="9"/>
        <v>2182.61777777778</v>
      </c>
      <c r="J70" s="65">
        <f t="shared" si="10"/>
        <v>1887.84</v>
      </c>
      <c r="K70" s="66" t="str">
        <f t="shared" si="11"/>
        <v/>
      </c>
      <c r="L70" s="67"/>
    </row>
    <row r="71" ht="23.1" customHeight="1" spans="1:12">
      <c r="A71" s="107"/>
      <c r="B71" s="62" t="s">
        <v>128</v>
      </c>
      <c r="C71" s="63">
        <v>235</v>
      </c>
      <c r="D71" s="72">
        <v>7280</v>
      </c>
      <c r="E71" s="84"/>
      <c r="F71" s="65">
        <f t="shared" si="6"/>
        <v>12.7629141716567</v>
      </c>
      <c r="G71" s="65">
        <f t="shared" si="7"/>
        <v>11.3044311377246</v>
      </c>
      <c r="H71" s="66" t="str">
        <f t="shared" si="8"/>
        <v/>
      </c>
      <c r="I71" s="65">
        <f t="shared" si="9"/>
        <v>2260.39555555556</v>
      </c>
      <c r="J71" s="65">
        <f t="shared" si="10"/>
        <v>1887.84</v>
      </c>
      <c r="K71" s="66" t="str">
        <f t="shared" si="11"/>
        <v/>
      </c>
      <c r="L71" s="67"/>
    </row>
    <row r="72" ht="23.1" customHeight="1" spans="1:12">
      <c r="A72" s="107"/>
      <c r="B72" s="62" t="s">
        <v>129</v>
      </c>
      <c r="C72" s="63">
        <v>235</v>
      </c>
      <c r="D72" s="72">
        <v>7280</v>
      </c>
      <c r="E72" s="84"/>
      <c r="F72" s="65">
        <f t="shared" si="6"/>
        <v>12.7629141716567</v>
      </c>
      <c r="G72" s="65">
        <f t="shared" si="7"/>
        <v>11.3044311377246</v>
      </c>
      <c r="H72" s="66" t="str">
        <f t="shared" si="8"/>
        <v/>
      </c>
      <c r="I72" s="65">
        <f t="shared" si="9"/>
        <v>2260.39555555556</v>
      </c>
      <c r="J72" s="65">
        <f t="shared" si="10"/>
        <v>1887.84</v>
      </c>
      <c r="K72" s="66" t="str">
        <f t="shared" si="11"/>
        <v/>
      </c>
      <c r="L72" s="67"/>
    </row>
    <row r="73" ht="23.1" customHeight="1" spans="1:12">
      <c r="A73" s="107" t="s">
        <v>130</v>
      </c>
      <c r="B73" s="62" t="s">
        <v>131</v>
      </c>
      <c r="C73" s="63">
        <v>255</v>
      </c>
      <c r="D73" s="72">
        <v>7980</v>
      </c>
      <c r="E73" s="84"/>
      <c r="F73" s="65">
        <f t="shared" si="6"/>
        <v>13.1629141716567</v>
      </c>
      <c r="G73" s="65">
        <f t="shared" si="7"/>
        <v>11.6956487025948</v>
      </c>
      <c r="H73" s="66" t="str">
        <f t="shared" si="8"/>
        <v/>
      </c>
      <c r="I73" s="65">
        <f t="shared" si="9"/>
        <v>2338.17333333333</v>
      </c>
      <c r="J73" s="65">
        <f t="shared" si="10"/>
        <v>1953.17333333333</v>
      </c>
      <c r="K73" s="66" t="str">
        <f t="shared" si="11"/>
        <v/>
      </c>
      <c r="L73" s="67">
        <v>13.6</v>
      </c>
    </row>
    <row r="74" ht="23.1" customHeight="1" spans="1:12">
      <c r="A74" s="107"/>
      <c r="B74" s="62" t="s">
        <v>132</v>
      </c>
      <c r="C74" s="63">
        <v>265</v>
      </c>
      <c r="D74" s="72">
        <v>7980</v>
      </c>
      <c r="E74" s="84"/>
      <c r="F74" s="65">
        <f t="shared" si="6"/>
        <v>13.3629141716567</v>
      </c>
      <c r="G74" s="65">
        <f t="shared" si="7"/>
        <v>11.6956487025948</v>
      </c>
      <c r="H74" s="66" t="str">
        <f t="shared" si="8"/>
        <v/>
      </c>
      <c r="I74" s="65">
        <f t="shared" si="9"/>
        <v>2377.06222222222</v>
      </c>
      <c r="J74" s="65">
        <f t="shared" si="10"/>
        <v>1953.17333333333</v>
      </c>
      <c r="K74" s="66" t="str">
        <f t="shared" si="11"/>
        <v/>
      </c>
      <c r="L74" s="67"/>
    </row>
    <row r="75" ht="23.1" customHeight="1" spans="1:12">
      <c r="A75" s="107"/>
      <c r="B75" s="62" t="s">
        <v>133</v>
      </c>
      <c r="C75" s="63">
        <v>265</v>
      </c>
      <c r="D75" s="72">
        <v>7980</v>
      </c>
      <c r="E75" s="84"/>
      <c r="F75" s="65">
        <f t="shared" si="6"/>
        <v>13.3629141716567</v>
      </c>
      <c r="G75" s="65">
        <f t="shared" si="7"/>
        <v>11.6956487025948</v>
      </c>
      <c r="H75" s="66" t="str">
        <f t="shared" si="8"/>
        <v/>
      </c>
      <c r="I75" s="65">
        <f t="shared" si="9"/>
        <v>2377.06222222222</v>
      </c>
      <c r="J75" s="65">
        <f t="shared" si="10"/>
        <v>1953.17333333333</v>
      </c>
      <c r="K75" s="66" t="str">
        <f t="shared" si="11"/>
        <v/>
      </c>
      <c r="L75" s="67">
        <v>13.6</v>
      </c>
    </row>
    <row r="76" ht="23.1" customHeight="1" spans="1:12">
      <c r="A76" s="107"/>
      <c r="B76" s="62" t="s">
        <v>134</v>
      </c>
      <c r="C76" s="63">
        <v>265</v>
      </c>
      <c r="D76" s="72">
        <v>7980</v>
      </c>
      <c r="E76" s="84"/>
      <c r="F76" s="65">
        <f t="shared" si="6"/>
        <v>13.3629141716567</v>
      </c>
      <c r="G76" s="65">
        <f t="shared" si="7"/>
        <v>11.6956487025948</v>
      </c>
      <c r="H76" s="66" t="str">
        <f t="shared" si="8"/>
        <v/>
      </c>
      <c r="I76" s="65">
        <f t="shared" si="9"/>
        <v>2377.06222222222</v>
      </c>
      <c r="J76" s="65">
        <f t="shared" si="10"/>
        <v>1953.17333333333</v>
      </c>
      <c r="K76" s="66" t="str">
        <f t="shared" si="11"/>
        <v/>
      </c>
      <c r="L76" s="67">
        <v>13.6</v>
      </c>
    </row>
    <row r="77" ht="23.1" customHeight="1" spans="1:12">
      <c r="A77" s="107"/>
      <c r="B77" s="62" t="s">
        <v>135</v>
      </c>
      <c r="C77" s="63">
        <v>230</v>
      </c>
      <c r="D77" s="72">
        <v>7980</v>
      </c>
      <c r="E77" s="84"/>
      <c r="F77" s="65">
        <f t="shared" si="6"/>
        <v>12.6629141716567</v>
      </c>
      <c r="G77" s="65">
        <f t="shared" si="7"/>
        <v>11.6956487025948</v>
      </c>
      <c r="H77" s="66" t="str">
        <f t="shared" si="8"/>
        <v/>
      </c>
      <c r="I77" s="65">
        <f t="shared" si="9"/>
        <v>2240.95111111111</v>
      </c>
      <c r="J77" s="65">
        <f t="shared" si="10"/>
        <v>1953.17333333333</v>
      </c>
      <c r="K77" s="66" t="str">
        <f t="shared" si="11"/>
        <v/>
      </c>
      <c r="L77" s="67"/>
    </row>
    <row r="78" ht="23.1" customHeight="1" spans="1:12">
      <c r="A78" s="107"/>
      <c r="B78" s="62" t="s">
        <v>136</v>
      </c>
      <c r="C78" s="63">
        <v>230</v>
      </c>
      <c r="D78" s="72">
        <v>7980</v>
      </c>
      <c r="E78" s="84"/>
      <c r="F78" s="65">
        <f t="shared" ref="F78:F109" si="12">$J$12+(C78*$J$10/$L$10)</f>
        <v>12.6629141716567</v>
      </c>
      <c r="G78" s="65">
        <f t="shared" ref="G78:G109" si="13">IF(D78="","",($J$11-$H$7+D78)*$J$10/$H$12)</f>
        <v>11.6956487025948</v>
      </c>
      <c r="H78" s="66" t="str">
        <f t="shared" ref="H78:H109" si="14">IF(E78="","",($J$11-$H$7+E78)*$J$10/$H$12)</f>
        <v/>
      </c>
      <c r="I78" s="65">
        <f t="shared" ref="I78:I109" si="15">$F$12+(C78*$J$10/$L$12)</f>
        <v>2240.95111111111</v>
      </c>
      <c r="J78" s="65">
        <f t="shared" ref="J78:J110" si="16">IF(D78="","",($J$11-$H$7+D78)*$J$10/$B$12)</f>
        <v>1953.17333333333</v>
      </c>
      <c r="K78" s="66" t="str">
        <f t="shared" ref="K78:K110" si="17">IF(E78="","",($J$11-$H$7+E78)*$J$10/$B$12)</f>
        <v/>
      </c>
      <c r="L78" s="67"/>
    </row>
    <row r="79" ht="23.1" customHeight="1" spans="1:12">
      <c r="A79" s="107"/>
      <c r="B79" s="62" t="s">
        <v>137</v>
      </c>
      <c r="C79" s="63">
        <v>250</v>
      </c>
      <c r="D79" s="72">
        <v>7980</v>
      </c>
      <c r="E79" s="84"/>
      <c r="F79" s="65">
        <f t="shared" si="12"/>
        <v>13.0629141716567</v>
      </c>
      <c r="G79" s="65">
        <f t="shared" si="13"/>
        <v>11.6956487025948</v>
      </c>
      <c r="H79" s="66" t="str">
        <f t="shared" si="14"/>
        <v/>
      </c>
      <c r="I79" s="65">
        <f t="shared" si="15"/>
        <v>2318.72888888889</v>
      </c>
      <c r="J79" s="65">
        <f t="shared" si="16"/>
        <v>1953.17333333333</v>
      </c>
      <c r="K79" s="66" t="str">
        <f t="shared" si="17"/>
        <v/>
      </c>
      <c r="L79" s="67"/>
    </row>
    <row r="80" ht="23.1" customHeight="1" spans="1:12">
      <c r="A80" s="107"/>
      <c r="B80" s="62" t="s">
        <v>138</v>
      </c>
      <c r="C80" s="63">
        <v>250</v>
      </c>
      <c r="D80" s="72">
        <v>7980</v>
      </c>
      <c r="E80" s="84"/>
      <c r="F80" s="65">
        <f t="shared" si="12"/>
        <v>13.0629141716567</v>
      </c>
      <c r="G80" s="65">
        <f t="shared" si="13"/>
        <v>11.6956487025948</v>
      </c>
      <c r="H80" s="66" t="str">
        <f t="shared" si="14"/>
        <v/>
      </c>
      <c r="I80" s="65">
        <f t="shared" si="15"/>
        <v>2318.72888888889</v>
      </c>
      <c r="J80" s="65">
        <f t="shared" si="16"/>
        <v>1953.17333333333</v>
      </c>
      <c r="K80" s="66" t="str">
        <f t="shared" si="17"/>
        <v/>
      </c>
      <c r="L80" s="67"/>
    </row>
    <row r="81" ht="23.1" customHeight="1" spans="1:12">
      <c r="A81" s="107"/>
      <c r="B81" s="62" t="s">
        <v>139</v>
      </c>
      <c r="C81" s="63">
        <v>270</v>
      </c>
      <c r="D81" s="72">
        <v>7980</v>
      </c>
      <c r="E81" s="84"/>
      <c r="F81" s="65">
        <f t="shared" si="12"/>
        <v>13.4629141716567</v>
      </c>
      <c r="G81" s="65">
        <f t="shared" si="13"/>
        <v>11.6956487025948</v>
      </c>
      <c r="H81" s="66" t="str">
        <f t="shared" si="14"/>
        <v/>
      </c>
      <c r="I81" s="65">
        <f t="shared" si="15"/>
        <v>2396.50666666667</v>
      </c>
      <c r="J81" s="65">
        <f t="shared" si="16"/>
        <v>1953.17333333333</v>
      </c>
      <c r="K81" s="66" t="str">
        <f t="shared" si="17"/>
        <v/>
      </c>
      <c r="L81" s="67"/>
    </row>
    <row r="82" ht="23.1" customHeight="1" spans="1:12">
      <c r="A82" s="107"/>
      <c r="B82" s="62" t="s">
        <v>140</v>
      </c>
      <c r="C82" s="63">
        <v>250</v>
      </c>
      <c r="D82" s="72">
        <v>7980</v>
      </c>
      <c r="E82" s="84"/>
      <c r="F82" s="65">
        <f t="shared" si="12"/>
        <v>13.0629141716567</v>
      </c>
      <c r="G82" s="65">
        <f t="shared" si="13"/>
        <v>11.6956487025948</v>
      </c>
      <c r="H82" s="66" t="str">
        <f t="shared" si="14"/>
        <v/>
      </c>
      <c r="I82" s="65">
        <f t="shared" si="15"/>
        <v>2318.72888888889</v>
      </c>
      <c r="J82" s="65">
        <f t="shared" si="16"/>
        <v>1953.17333333333</v>
      </c>
      <c r="K82" s="66" t="str">
        <f t="shared" si="17"/>
        <v/>
      </c>
      <c r="L82" s="67"/>
    </row>
    <row r="83" ht="23.1" customHeight="1" spans="1:12">
      <c r="A83" s="107"/>
      <c r="B83" s="62" t="s">
        <v>141</v>
      </c>
      <c r="C83" s="63">
        <v>250</v>
      </c>
      <c r="D83" s="72">
        <v>7980</v>
      </c>
      <c r="E83" s="84"/>
      <c r="F83" s="65">
        <f t="shared" si="12"/>
        <v>13.0629141716567</v>
      </c>
      <c r="G83" s="65">
        <f t="shared" si="13"/>
        <v>11.6956487025948</v>
      </c>
      <c r="H83" s="66" t="str">
        <f t="shared" si="14"/>
        <v/>
      </c>
      <c r="I83" s="65">
        <f t="shared" si="15"/>
        <v>2318.72888888889</v>
      </c>
      <c r="J83" s="65">
        <f t="shared" si="16"/>
        <v>1953.17333333333</v>
      </c>
      <c r="K83" s="66" t="str">
        <f t="shared" si="17"/>
        <v/>
      </c>
      <c r="L83" s="67"/>
    </row>
    <row r="84" ht="23.1" customHeight="1" spans="1:12">
      <c r="A84" s="107"/>
      <c r="B84" s="62" t="s">
        <v>142</v>
      </c>
      <c r="C84" s="63">
        <v>295</v>
      </c>
      <c r="D84" s="72">
        <v>7980</v>
      </c>
      <c r="E84" s="84"/>
      <c r="F84" s="65">
        <f t="shared" si="12"/>
        <v>13.9629141716567</v>
      </c>
      <c r="G84" s="65">
        <f t="shared" si="13"/>
        <v>11.6956487025948</v>
      </c>
      <c r="H84" s="66" t="str">
        <f t="shared" si="14"/>
        <v/>
      </c>
      <c r="I84" s="65">
        <f t="shared" si="15"/>
        <v>2493.72888888889</v>
      </c>
      <c r="J84" s="65">
        <f t="shared" si="16"/>
        <v>1953.17333333333</v>
      </c>
      <c r="K84" s="66" t="str">
        <f t="shared" si="17"/>
        <v/>
      </c>
      <c r="L84" s="67"/>
    </row>
    <row r="85" ht="23.1" customHeight="1" spans="1:12">
      <c r="A85" s="107"/>
      <c r="B85" s="62" t="s">
        <v>143</v>
      </c>
      <c r="C85" s="63">
        <v>295</v>
      </c>
      <c r="D85" s="72">
        <v>7980</v>
      </c>
      <c r="E85" s="84"/>
      <c r="F85" s="65">
        <f t="shared" si="12"/>
        <v>13.9629141716567</v>
      </c>
      <c r="G85" s="65">
        <f t="shared" si="13"/>
        <v>11.6956487025948</v>
      </c>
      <c r="H85" s="66" t="str">
        <f t="shared" si="14"/>
        <v/>
      </c>
      <c r="I85" s="65">
        <f t="shared" si="15"/>
        <v>2493.72888888889</v>
      </c>
      <c r="J85" s="65">
        <f t="shared" si="16"/>
        <v>1953.17333333333</v>
      </c>
      <c r="K85" s="66" t="str">
        <f t="shared" si="17"/>
        <v/>
      </c>
      <c r="L85" s="67"/>
    </row>
    <row r="86" ht="23.1" customHeight="1" spans="1:12">
      <c r="A86" s="107"/>
      <c r="B86" s="62" t="s">
        <v>144</v>
      </c>
      <c r="C86" s="63">
        <v>280</v>
      </c>
      <c r="D86" s="72">
        <v>7980</v>
      </c>
      <c r="E86" s="84"/>
      <c r="F86" s="65">
        <f t="shared" si="12"/>
        <v>13.6629141716567</v>
      </c>
      <c r="G86" s="65">
        <f t="shared" si="13"/>
        <v>11.6956487025948</v>
      </c>
      <c r="H86" s="66" t="str">
        <f t="shared" si="14"/>
        <v/>
      </c>
      <c r="I86" s="65">
        <f t="shared" si="15"/>
        <v>2435.39555555556</v>
      </c>
      <c r="J86" s="65">
        <f t="shared" si="16"/>
        <v>1953.17333333333</v>
      </c>
      <c r="K86" s="66" t="str">
        <f t="shared" si="17"/>
        <v/>
      </c>
      <c r="L86" s="67">
        <v>13.6</v>
      </c>
    </row>
    <row r="87" ht="23.1" customHeight="1" spans="1:12">
      <c r="A87" s="108" t="s">
        <v>145</v>
      </c>
      <c r="B87" s="62" t="s">
        <v>146</v>
      </c>
      <c r="C87" s="63">
        <v>290</v>
      </c>
      <c r="D87" s="72">
        <v>8680</v>
      </c>
      <c r="E87" s="84"/>
      <c r="F87" s="65">
        <f t="shared" si="12"/>
        <v>13.8629141716567</v>
      </c>
      <c r="G87" s="65">
        <f t="shared" si="13"/>
        <v>12.0868662674651</v>
      </c>
      <c r="H87" s="66" t="str">
        <f t="shared" si="14"/>
        <v/>
      </c>
      <c r="I87" s="65">
        <f t="shared" si="15"/>
        <v>2474.28444444444</v>
      </c>
      <c r="J87" s="65">
        <f t="shared" si="16"/>
        <v>2018.50666666667</v>
      </c>
      <c r="K87" s="66" t="str">
        <f t="shared" si="17"/>
        <v/>
      </c>
      <c r="L87" s="67">
        <v>14.1</v>
      </c>
    </row>
    <row r="88" ht="23.1" customHeight="1" spans="1:12">
      <c r="A88" s="108"/>
      <c r="B88" s="62" t="s">
        <v>147</v>
      </c>
      <c r="C88" s="63">
        <v>290</v>
      </c>
      <c r="D88" s="72">
        <v>8680</v>
      </c>
      <c r="E88" s="84"/>
      <c r="F88" s="65">
        <f t="shared" si="12"/>
        <v>13.8629141716567</v>
      </c>
      <c r="G88" s="65">
        <f t="shared" si="13"/>
        <v>12.0868662674651</v>
      </c>
      <c r="H88" s="66" t="str">
        <f t="shared" si="14"/>
        <v/>
      </c>
      <c r="I88" s="65">
        <f t="shared" si="15"/>
        <v>2474.28444444444</v>
      </c>
      <c r="J88" s="65">
        <f t="shared" si="16"/>
        <v>2018.50666666667</v>
      </c>
      <c r="K88" s="66" t="str">
        <f t="shared" si="17"/>
        <v/>
      </c>
      <c r="L88" s="67"/>
    </row>
    <row r="89" ht="23.1" customHeight="1" spans="1:12">
      <c r="A89" s="108"/>
      <c r="B89" s="62" t="s">
        <v>148</v>
      </c>
      <c r="C89" s="63">
        <v>285</v>
      </c>
      <c r="D89" s="72">
        <v>8680</v>
      </c>
      <c r="E89" s="84"/>
      <c r="F89" s="65">
        <f t="shared" si="12"/>
        <v>13.7629141716567</v>
      </c>
      <c r="G89" s="65">
        <f t="shared" si="13"/>
        <v>12.0868662674651</v>
      </c>
      <c r="H89" s="66" t="str">
        <f t="shared" si="14"/>
        <v/>
      </c>
      <c r="I89" s="65">
        <f t="shared" si="15"/>
        <v>2454.84</v>
      </c>
      <c r="J89" s="65">
        <f t="shared" si="16"/>
        <v>2018.50666666667</v>
      </c>
      <c r="K89" s="66" t="str">
        <f t="shared" si="17"/>
        <v/>
      </c>
      <c r="L89" s="67">
        <v>14.1</v>
      </c>
    </row>
    <row r="90" ht="23.1" customHeight="1" spans="1:12">
      <c r="A90" s="108"/>
      <c r="B90" s="62" t="s">
        <v>149</v>
      </c>
      <c r="C90" s="63">
        <v>285</v>
      </c>
      <c r="D90" s="72">
        <v>8680</v>
      </c>
      <c r="E90" s="84"/>
      <c r="F90" s="65">
        <f t="shared" si="12"/>
        <v>13.7629141716567</v>
      </c>
      <c r="G90" s="65">
        <f t="shared" si="13"/>
        <v>12.0868662674651</v>
      </c>
      <c r="H90" s="66" t="str">
        <f t="shared" si="14"/>
        <v/>
      </c>
      <c r="I90" s="65">
        <f t="shared" si="15"/>
        <v>2454.84</v>
      </c>
      <c r="J90" s="65">
        <f t="shared" si="16"/>
        <v>2018.50666666667</v>
      </c>
      <c r="K90" s="66" t="str">
        <f t="shared" si="17"/>
        <v/>
      </c>
      <c r="L90" s="67"/>
    </row>
    <row r="91" ht="23.1" customHeight="1" spans="1:12">
      <c r="A91" s="108"/>
      <c r="B91" s="62" t="s">
        <v>150</v>
      </c>
      <c r="C91" s="63">
        <v>290</v>
      </c>
      <c r="D91" s="72">
        <v>8680</v>
      </c>
      <c r="E91" s="84"/>
      <c r="F91" s="65">
        <f t="shared" si="12"/>
        <v>13.8629141716567</v>
      </c>
      <c r="G91" s="65">
        <f t="shared" si="13"/>
        <v>12.0868662674651</v>
      </c>
      <c r="H91" s="66" t="str">
        <f t="shared" si="14"/>
        <v/>
      </c>
      <c r="I91" s="65">
        <f t="shared" si="15"/>
        <v>2474.28444444444</v>
      </c>
      <c r="J91" s="65">
        <f t="shared" si="16"/>
        <v>2018.50666666667</v>
      </c>
      <c r="K91" s="66" t="str">
        <f t="shared" si="17"/>
        <v/>
      </c>
      <c r="L91" s="67">
        <v>14.1</v>
      </c>
    </row>
    <row r="92" ht="23.1" customHeight="1" spans="1:12">
      <c r="A92" s="108"/>
      <c r="B92" s="62" t="s">
        <v>151</v>
      </c>
      <c r="C92" s="63">
        <v>290</v>
      </c>
      <c r="D92" s="72">
        <v>8680</v>
      </c>
      <c r="E92" s="84"/>
      <c r="F92" s="65">
        <f t="shared" si="12"/>
        <v>13.8629141716567</v>
      </c>
      <c r="G92" s="65">
        <f t="shared" si="13"/>
        <v>12.0868662674651</v>
      </c>
      <c r="H92" s="66" t="str">
        <f t="shared" si="14"/>
        <v/>
      </c>
      <c r="I92" s="65">
        <f t="shared" si="15"/>
        <v>2474.28444444444</v>
      </c>
      <c r="J92" s="65">
        <f t="shared" si="16"/>
        <v>2018.50666666667</v>
      </c>
      <c r="K92" s="66" t="str">
        <f t="shared" si="17"/>
        <v/>
      </c>
      <c r="L92" s="67"/>
    </row>
    <row r="93" ht="23.1" customHeight="1" spans="1:12">
      <c r="A93" s="108"/>
      <c r="B93" s="62" t="s">
        <v>152</v>
      </c>
      <c r="C93" s="63">
        <v>295</v>
      </c>
      <c r="D93" s="72">
        <v>8680</v>
      </c>
      <c r="E93" s="84"/>
      <c r="F93" s="65">
        <f t="shared" si="12"/>
        <v>13.9629141716567</v>
      </c>
      <c r="G93" s="65">
        <f t="shared" si="13"/>
        <v>12.0868662674651</v>
      </c>
      <c r="H93" s="66" t="str">
        <f t="shared" si="14"/>
        <v/>
      </c>
      <c r="I93" s="65">
        <f t="shared" si="15"/>
        <v>2493.72888888889</v>
      </c>
      <c r="J93" s="65">
        <f t="shared" si="16"/>
        <v>2018.50666666667</v>
      </c>
      <c r="K93" s="66" t="str">
        <f t="shared" si="17"/>
        <v/>
      </c>
      <c r="L93" s="67"/>
    </row>
    <row r="94" ht="23.1" customHeight="1" spans="1:12">
      <c r="A94" s="108"/>
      <c r="B94" s="62" t="s">
        <v>153</v>
      </c>
      <c r="C94" s="63">
        <v>295</v>
      </c>
      <c r="D94" s="72">
        <v>8680</v>
      </c>
      <c r="E94" s="84"/>
      <c r="F94" s="65">
        <f t="shared" si="12"/>
        <v>13.9629141716567</v>
      </c>
      <c r="G94" s="65">
        <f t="shared" si="13"/>
        <v>12.0868662674651</v>
      </c>
      <c r="H94" s="66" t="str">
        <f t="shared" si="14"/>
        <v/>
      </c>
      <c r="I94" s="65">
        <f t="shared" si="15"/>
        <v>2493.72888888889</v>
      </c>
      <c r="J94" s="65">
        <f t="shared" si="16"/>
        <v>2018.50666666667</v>
      </c>
      <c r="K94" s="66" t="str">
        <f t="shared" si="17"/>
        <v/>
      </c>
      <c r="L94" s="67">
        <v>14.1</v>
      </c>
    </row>
    <row r="95" ht="23.1" customHeight="1" spans="1:12">
      <c r="A95" s="108"/>
      <c r="B95" s="62" t="s">
        <v>154</v>
      </c>
      <c r="C95" s="63">
        <v>300</v>
      </c>
      <c r="D95" s="72">
        <v>8680</v>
      </c>
      <c r="E95" s="84"/>
      <c r="F95" s="65">
        <f t="shared" si="12"/>
        <v>14.0629141716567</v>
      </c>
      <c r="G95" s="65">
        <f t="shared" si="13"/>
        <v>12.0868662674651</v>
      </c>
      <c r="H95" s="66" t="str">
        <f t="shared" si="14"/>
        <v/>
      </c>
      <c r="I95" s="65">
        <f t="shared" si="15"/>
        <v>2513.17333333333</v>
      </c>
      <c r="J95" s="65">
        <f t="shared" si="16"/>
        <v>2018.50666666667</v>
      </c>
      <c r="K95" s="66" t="str">
        <f t="shared" si="17"/>
        <v/>
      </c>
      <c r="L95" s="67"/>
    </row>
    <row r="96" ht="23.1" customHeight="1" spans="1:12">
      <c r="A96" s="108"/>
      <c r="B96" s="62" t="s">
        <v>155</v>
      </c>
      <c r="C96" s="63">
        <v>290</v>
      </c>
      <c r="D96" s="72">
        <v>8680</v>
      </c>
      <c r="E96" s="84"/>
      <c r="F96" s="65">
        <f t="shared" si="12"/>
        <v>13.8629141716567</v>
      </c>
      <c r="G96" s="65">
        <f t="shared" si="13"/>
        <v>12.0868662674651</v>
      </c>
      <c r="H96" s="66" t="str">
        <f t="shared" si="14"/>
        <v/>
      </c>
      <c r="I96" s="65">
        <f t="shared" si="15"/>
        <v>2474.28444444444</v>
      </c>
      <c r="J96" s="65">
        <f t="shared" si="16"/>
        <v>2018.50666666667</v>
      </c>
      <c r="K96" s="66" t="str">
        <f t="shared" si="17"/>
        <v/>
      </c>
      <c r="L96" s="67"/>
    </row>
    <row r="97" ht="23.1" customHeight="1" spans="1:12">
      <c r="A97" s="108"/>
      <c r="B97" s="62" t="s">
        <v>156</v>
      </c>
      <c r="C97" s="63">
        <v>275</v>
      </c>
      <c r="D97" s="72">
        <v>8680</v>
      </c>
      <c r="E97" s="84"/>
      <c r="F97" s="65">
        <f t="shared" si="12"/>
        <v>13.5629141716567</v>
      </c>
      <c r="G97" s="65">
        <f t="shared" si="13"/>
        <v>12.0868662674651</v>
      </c>
      <c r="H97" s="66" t="str">
        <f t="shared" si="14"/>
        <v/>
      </c>
      <c r="I97" s="65">
        <f t="shared" si="15"/>
        <v>2415.95111111111</v>
      </c>
      <c r="J97" s="65">
        <f t="shared" si="16"/>
        <v>2018.50666666667</v>
      </c>
      <c r="K97" s="66" t="str">
        <f t="shared" si="17"/>
        <v/>
      </c>
      <c r="L97" s="67">
        <v>14.1</v>
      </c>
    </row>
    <row r="98" ht="23.1" customHeight="1" spans="1:12">
      <c r="A98" s="108"/>
      <c r="B98" s="62" t="s">
        <v>157</v>
      </c>
      <c r="C98" s="63">
        <v>295</v>
      </c>
      <c r="D98" s="72">
        <v>8680</v>
      </c>
      <c r="E98" s="84"/>
      <c r="F98" s="65">
        <f t="shared" si="12"/>
        <v>13.9629141716567</v>
      </c>
      <c r="G98" s="65">
        <f t="shared" si="13"/>
        <v>12.0868662674651</v>
      </c>
      <c r="H98" s="66" t="str">
        <f t="shared" si="14"/>
        <v/>
      </c>
      <c r="I98" s="65">
        <f t="shared" si="15"/>
        <v>2493.72888888889</v>
      </c>
      <c r="J98" s="65">
        <f t="shared" si="16"/>
        <v>2018.50666666667</v>
      </c>
      <c r="K98" s="66" t="str">
        <f t="shared" si="17"/>
        <v/>
      </c>
      <c r="L98" s="67">
        <v>14.1</v>
      </c>
    </row>
    <row r="99" ht="23.1" customHeight="1" spans="1:12">
      <c r="A99" s="108"/>
      <c r="B99" s="62" t="s">
        <v>158</v>
      </c>
      <c r="C99" s="63">
        <v>290</v>
      </c>
      <c r="D99" s="72">
        <v>8680</v>
      </c>
      <c r="E99" s="84"/>
      <c r="F99" s="65">
        <f t="shared" si="12"/>
        <v>13.8629141716567</v>
      </c>
      <c r="G99" s="65">
        <f t="shared" si="13"/>
        <v>12.0868662674651</v>
      </c>
      <c r="H99" s="66" t="str">
        <f t="shared" si="14"/>
        <v/>
      </c>
      <c r="I99" s="65">
        <f t="shared" si="15"/>
        <v>2474.28444444444</v>
      </c>
      <c r="J99" s="65">
        <f t="shared" si="16"/>
        <v>2018.50666666667</v>
      </c>
      <c r="K99" s="66" t="str">
        <f t="shared" si="17"/>
        <v/>
      </c>
      <c r="L99" s="67">
        <v>14.1</v>
      </c>
    </row>
    <row r="100" ht="23.1" customHeight="1" spans="1:12">
      <c r="A100" s="108"/>
      <c r="B100" s="62" t="s">
        <v>159</v>
      </c>
      <c r="C100" s="63">
        <v>290</v>
      </c>
      <c r="D100" s="72">
        <v>8680</v>
      </c>
      <c r="E100" s="84"/>
      <c r="F100" s="65">
        <f t="shared" si="12"/>
        <v>13.8629141716567</v>
      </c>
      <c r="G100" s="65">
        <f t="shared" si="13"/>
        <v>12.0868662674651</v>
      </c>
      <c r="H100" s="66" t="str">
        <f t="shared" si="14"/>
        <v/>
      </c>
      <c r="I100" s="65">
        <f t="shared" si="15"/>
        <v>2474.28444444444</v>
      </c>
      <c r="J100" s="65">
        <f t="shared" si="16"/>
        <v>2018.50666666667</v>
      </c>
      <c r="K100" s="66" t="str">
        <f t="shared" si="17"/>
        <v/>
      </c>
      <c r="L100" s="67"/>
    </row>
    <row r="101" ht="23.1" customHeight="1" spans="1:12">
      <c r="A101" s="108"/>
      <c r="B101" s="62" t="s">
        <v>160</v>
      </c>
      <c r="C101" s="63">
        <v>290</v>
      </c>
      <c r="D101" s="72">
        <v>8680</v>
      </c>
      <c r="E101" s="84"/>
      <c r="F101" s="65">
        <f t="shared" si="12"/>
        <v>13.8629141716567</v>
      </c>
      <c r="G101" s="65">
        <f t="shared" si="13"/>
        <v>12.0868662674651</v>
      </c>
      <c r="H101" s="66" t="str">
        <f t="shared" si="14"/>
        <v/>
      </c>
      <c r="I101" s="65">
        <f t="shared" si="15"/>
        <v>2474.28444444444</v>
      </c>
      <c r="J101" s="65">
        <f t="shared" si="16"/>
        <v>2018.50666666667</v>
      </c>
      <c r="K101" s="66" t="str">
        <f t="shared" si="17"/>
        <v/>
      </c>
      <c r="L101" s="67"/>
    </row>
    <row r="102" ht="23.1" customHeight="1" spans="1:12">
      <c r="A102" s="108"/>
      <c r="B102" s="62" t="s">
        <v>161</v>
      </c>
      <c r="C102" s="63">
        <v>290</v>
      </c>
      <c r="D102" s="72">
        <v>8680</v>
      </c>
      <c r="E102" s="84"/>
      <c r="F102" s="65">
        <f t="shared" si="12"/>
        <v>13.8629141716567</v>
      </c>
      <c r="G102" s="65">
        <f t="shared" si="13"/>
        <v>12.0868662674651</v>
      </c>
      <c r="H102" s="66" t="str">
        <f t="shared" si="14"/>
        <v/>
      </c>
      <c r="I102" s="65">
        <f t="shared" si="15"/>
        <v>2474.28444444444</v>
      </c>
      <c r="J102" s="65">
        <f t="shared" si="16"/>
        <v>2018.50666666667</v>
      </c>
      <c r="K102" s="66" t="str">
        <f t="shared" si="17"/>
        <v/>
      </c>
      <c r="L102" s="67"/>
    </row>
    <row r="103" ht="23.1" customHeight="1" spans="1:12">
      <c r="A103" s="108"/>
      <c r="B103" s="62" t="s">
        <v>162</v>
      </c>
      <c r="C103" s="63">
        <v>290</v>
      </c>
      <c r="D103" s="72">
        <v>8680</v>
      </c>
      <c r="E103" s="84"/>
      <c r="F103" s="65">
        <f t="shared" si="12"/>
        <v>13.8629141716567</v>
      </c>
      <c r="G103" s="65">
        <f t="shared" si="13"/>
        <v>12.0868662674651</v>
      </c>
      <c r="H103" s="66" t="str">
        <f t="shared" si="14"/>
        <v/>
      </c>
      <c r="I103" s="65">
        <f t="shared" si="15"/>
        <v>2474.28444444444</v>
      </c>
      <c r="J103" s="65">
        <f t="shared" si="16"/>
        <v>2018.50666666667</v>
      </c>
      <c r="K103" s="66" t="str">
        <f t="shared" si="17"/>
        <v/>
      </c>
      <c r="L103" s="67"/>
    </row>
    <row r="104" ht="23.1" customHeight="1" spans="1:12">
      <c r="A104" s="108"/>
      <c r="B104" s="62" t="s">
        <v>163</v>
      </c>
      <c r="C104" s="63">
        <v>320</v>
      </c>
      <c r="D104" s="72">
        <v>8680</v>
      </c>
      <c r="E104" s="84"/>
      <c r="F104" s="65">
        <f t="shared" si="12"/>
        <v>14.4629141716567</v>
      </c>
      <c r="G104" s="65">
        <f t="shared" si="13"/>
        <v>12.0868662674651</v>
      </c>
      <c r="H104" s="66" t="str">
        <f t="shared" si="14"/>
        <v/>
      </c>
      <c r="I104" s="65">
        <f t="shared" si="15"/>
        <v>2590.95111111111</v>
      </c>
      <c r="J104" s="65">
        <f t="shared" si="16"/>
        <v>2018.50666666667</v>
      </c>
      <c r="K104" s="66" t="str">
        <f t="shared" si="17"/>
        <v/>
      </c>
      <c r="L104" s="67"/>
    </row>
    <row r="105" ht="23.1" customHeight="1" spans="1:12">
      <c r="A105" s="108"/>
      <c r="B105" s="62" t="s">
        <v>164</v>
      </c>
      <c r="C105" s="63">
        <v>290</v>
      </c>
      <c r="D105" s="72">
        <v>8680</v>
      </c>
      <c r="E105" s="84"/>
      <c r="F105" s="65">
        <f t="shared" si="12"/>
        <v>13.8629141716567</v>
      </c>
      <c r="G105" s="65">
        <f t="shared" si="13"/>
        <v>12.0868662674651</v>
      </c>
      <c r="H105" s="66" t="str">
        <f t="shared" si="14"/>
        <v/>
      </c>
      <c r="I105" s="65">
        <f t="shared" si="15"/>
        <v>2474.28444444444</v>
      </c>
      <c r="J105" s="65">
        <f t="shared" si="16"/>
        <v>2018.50666666667</v>
      </c>
      <c r="K105" s="66" t="str">
        <f t="shared" si="17"/>
        <v/>
      </c>
      <c r="L105" s="67"/>
    </row>
    <row r="106" ht="23.1" customHeight="1" spans="1:12">
      <c r="A106" s="108"/>
      <c r="B106" s="62" t="s">
        <v>165</v>
      </c>
      <c r="C106" s="63">
        <v>350</v>
      </c>
      <c r="D106" s="72">
        <v>8680</v>
      </c>
      <c r="E106" s="84"/>
      <c r="F106" s="65">
        <f t="shared" si="12"/>
        <v>15.0629141716567</v>
      </c>
      <c r="G106" s="65">
        <f t="shared" si="13"/>
        <v>12.0868662674651</v>
      </c>
      <c r="H106" s="66" t="str">
        <f t="shared" si="14"/>
        <v/>
      </c>
      <c r="I106" s="65">
        <f t="shared" si="15"/>
        <v>2707.61777777778</v>
      </c>
      <c r="J106" s="65">
        <f t="shared" si="16"/>
        <v>2018.50666666667</v>
      </c>
      <c r="K106" s="66" t="str">
        <f t="shared" si="17"/>
        <v/>
      </c>
      <c r="L106" s="67"/>
    </row>
    <row r="107" ht="23.1" customHeight="1" spans="1:12">
      <c r="A107" s="108"/>
      <c r="B107" s="62" t="s">
        <v>166</v>
      </c>
      <c r="C107" s="63">
        <v>350</v>
      </c>
      <c r="D107" s="72">
        <v>8680</v>
      </c>
      <c r="E107" s="84"/>
      <c r="F107" s="65">
        <f t="shared" si="12"/>
        <v>15.0629141716567</v>
      </c>
      <c r="G107" s="65">
        <f t="shared" si="13"/>
        <v>12.0868662674651</v>
      </c>
      <c r="H107" s="66" t="str">
        <f t="shared" si="14"/>
        <v/>
      </c>
      <c r="I107" s="65">
        <f t="shared" si="15"/>
        <v>2707.61777777778</v>
      </c>
      <c r="J107" s="65">
        <f t="shared" si="16"/>
        <v>2018.50666666667</v>
      </c>
      <c r="K107" s="66" t="str">
        <f t="shared" si="17"/>
        <v/>
      </c>
      <c r="L107" s="67">
        <v>14.1</v>
      </c>
    </row>
    <row r="108" ht="23.1" customHeight="1" spans="1:12">
      <c r="A108" s="108"/>
      <c r="B108" s="62" t="s">
        <v>167</v>
      </c>
      <c r="C108" s="63">
        <v>315</v>
      </c>
      <c r="D108" s="72">
        <v>8680</v>
      </c>
      <c r="E108" s="84"/>
      <c r="F108" s="65">
        <f t="shared" si="12"/>
        <v>14.3629141716567</v>
      </c>
      <c r="G108" s="65">
        <f t="shared" si="13"/>
        <v>12.0868662674651</v>
      </c>
      <c r="H108" s="66" t="str">
        <f t="shared" si="14"/>
        <v/>
      </c>
      <c r="I108" s="65">
        <f t="shared" si="15"/>
        <v>2571.50666666667</v>
      </c>
      <c r="J108" s="65">
        <f t="shared" si="16"/>
        <v>2018.50666666667</v>
      </c>
      <c r="K108" s="66" t="str">
        <f t="shared" si="17"/>
        <v/>
      </c>
      <c r="L108" s="67"/>
    </row>
    <row r="109" ht="23.1" customHeight="1" spans="1:12">
      <c r="A109" s="108"/>
      <c r="B109" s="62" t="s">
        <v>168</v>
      </c>
      <c r="C109" s="63"/>
      <c r="D109" s="72">
        <v>8680</v>
      </c>
      <c r="E109" s="84"/>
      <c r="F109" s="65">
        <f t="shared" si="12"/>
        <v>8.06291417165669</v>
      </c>
      <c r="G109" s="65">
        <f t="shared" si="13"/>
        <v>12.0868662674651</v>
      </c>
      <c r="H109" s="66" t="str">
        <f t="shared" si="14"/>
        <v/>
      </c>
      <c r="I109" s="65">
        <f t="shared" si="15"/>
        <v>1346.50666666667</v>
      </c>
      <c r="J109" s="65">
        <f t="shared" si="16"/>
        <v>2018.50666666667</v>
      </c>
      <c r="K109" s="66" t="str">
        <f t="shared" si="17"/>
        <v/>
      </c>
      <c r="L109" s="67"/>
    </row>
    <row r="110" ht="23.1" customHeight="1" spans="1:12">
      <c r="A110" s="107" t="s">
        <v>169</v>
      </c>
      <c r="B110" s="62" t="s">
        <v>170</v>
      </c>
      <c r="C110" s="63">
        <v>60</v>
      </c>
      <c r="D110" s="72"/>
      <c r="E110" s="84"/>
      <c r="F110" s="65">
        <f t="shared" ref="F110:F141" si="18">$J$12+(C110*$J$10/$L$10)</f>
        <v>9.26291417165669</v>
      </c>
      <c r="G110" s="65" t="str">
        <f t="shared" ref="G110:G141" si="19">IF(D110="","",($J$11-$H$7+D110)*$J$10/$H$12)</f>
        <v/>
      </c>
      <c r="H110" s="66" t="str">
        <f t="shared" ref="H110:H141" si="20">IF(E110="","",($J$11-$H$7+E110)*$J$10/$H$12)</f>
        <v/>
      </c>
      <c r="I110" s="65">
        <f t="shared" ref="I110:I141" si="21">$F$12+(C110*$J$10/$L$12)</f>
        <v>1579.84</v>
      </c>
      <c r="J110" s="65" t="str">
        <f t="shared" si="16"/>
        <v/>
      </c>
      <c r="K110" s="66" t="str">
        <f t="shared" si="17"/>
        <v/>
      </c>
      <c r="L110" s="67"/>
    </row>
    <row r="111" ht="23.1" customHeight="1" spans="1:12">
      <c r="A111" s="107"/>
      <c r="B111" s="62" t="s">
        <v>171</v>
      </c>
      <c r="C111" s="63">
        <v>60</v>
      </c>
      <c r="D111" s="72"/>
      <c r="E111" s="84"/>
      <c r="F111" s="65">
        <f t="shared" si="18"/>
        <v>9.26291417165669</v>
      </c>
      <c r="G111" s="65" t="str">
        <f t="shared" si="19"/>
        <v/>
      </c>
      <c r="H111" s="66" t="str">
        <f t="shared" si="20"/>
        <v/>
      </c>
      <c r="I111" s="65">
        <f t="shared" si="21"/>
        <v>1579.84</v>
      </c>
      <c r="J111" s="65" t="str">
        <f t="shared" ref="J111:J142" si="22">IF(D111="","",($J$11-$H$7+D111)*$J$10/$B$12)</f>
        <v/>
      </c>
      <c r="K111" s="66"/>
      <c r="L111" s="67">
        <v>10.6</v>
      </c>
    </row>
    <row r="112" ht="23.1" customHeight="1" spans="1:12">
      <c r="A112" s="107"/>
      <c r="B112" s="62" t="s">
        <v>172</v>
      </c>
      <c r="C112" s="63">
        <v>55</v>
      </c>
      <c r="D112" s="72"/>
      <c r="E112" s="84"/>
      <c r="F112" s="65">
        <f t="shared" si="18"/>
        <v>9.16291417165669</v>
      </c>
      <c r="G112" s="65" t="str">
        <f t="shared" si="19"/>
        <v/>
      </c>
      <c r="H112" s="66" t="str">
        <f t="shared" si="20"/>
        <v/>
      </c>
      <c r="I112" s="65">
        <f t="shared" si="21"/>
        <v>1560.39555555556</v>
      </c>
      <c r="J112" s="65" t="str">
        <f t="shared" si="22"/>
        <v/>
      </c>
      <c r="K112" s="66" t="str">
        <f t="shared" ref="K112:K143" si="23">IF(E112="","",($J$11-$H$7+E112)*$J$10/$B$12)</f>
        <v/>
      </c>
      <c r="L112" s="67">
        <v>10.6</v>
      </c>
    </row>
    <row r="113" ht="23.1" customHeight="1" spans="1:12">
      <c r="A113" s="107"/>
      <c r="B113" s="62" t="s">
        <v>173</v>
      </c>
      <c r="C113" s="63">
        <v>190</v>
      </c>
      <c r="D113" s="72"/>
      <c r="E113" s="84"/>
      <c r="F113" s="65">
        <f t="shared" si="18"/>
        <v>11.8629141716567</v>
      </c>
      <c r="G113" s="65" t="str">
        <f t="shared" si="19"/>
        <v/>
      </c>
      <c r="H113" s="66" t="str">
        <f t="shared" si="20"/>
        <v/>
      </c>
      <c r="I113" s="65">
        <f t="shared" si="21"/>
        <v>2085.39555555556</v>
      </c>
      <c r="J113" s="65" t="str">
        <f t="shared" si="22"/>
        <v/>
      </c>
      <c r="K113" s="66" t="str">
        <f t="shared" si="23"/>
        <v/>
      </c>
      <c r="L113" s="67"/>
    </row>
    <row r="114" ht="23.1" customHeight="1" spans="1:12">
      <c r="A114" s="107"/>
      <c r="B114" s="62" t="s">
        <v>174</v>
      </c>
      <c r="C114" s="63">
        <v>180</v>
      </c>
      <c r="D114" s="72"/>
      <c r="E114" s="84"/>
      <c r="F114" s="65">
        <f t="shared" si="18"/>
        <v>11.6629141716567</v>
      </c>
      <c r="G114" s="65" t="str">
        <f t="shared" si="19"/>
        <v/>
      </c>
      <c r="H114" s="66" t="str">
        <f t="shared" si="20"/>
        <v/>
      </c>
      <c r="I114" s="65">
        <f t="shared" si="21"/>
        <v>2046.50666666667</v>
      </c>
      <c r="J114" s="65" t="str">
        <f t="shared" si="22"/>
        <v/>
      </c>
      <c r="K114" s="66" t="str">
        <f t="shared" si="23"/>
        <v/>
      </c>
      <c r="L114" s="67"/>
    </row>
    <row r="115" ht="23.1" customHeight="1" spans="1:12">
      <c r="A115" s="107"/>
      <c r="B115" s="62" t="s">
        <v>175</v>
      </c>
      <c r="C115" s="63">
        <v>160</v>
      </c>
      <c r="D115" s="72"/>
      <c r="E115" s="84"/>
      <c r="F115" s="65">
        <f t="shared" si="18"/>
        <v>11.2629141716567</v>
      </c>
      <c r="G115" s="65" t="str">
        <f t="shared" si="19"/>
        <v/>
      </c>
      <c r="H115" s="66" t="str">
        <f t="shared" si="20"/>
        <v/>
      </c>
      <c r="I115" s="65">
        <f t="shared" si="21"/>
        <v>1968.72888888889</v>
      </c>
      <c r="J115" s="65" t="str">
        <f t="shared" si="22"/>
        <v/>
      </c>
      <c r="K115" s="66" t="str">
        <f t="shared" si="23"/>
        <v/>
      </c>
      <c r="L115" s="67">
        <v>12.9</v>
      </c>
    </row>
    <row r="116" ht="23.1" customHeight="1" spans="1:12">
      <c r="A116" s="107"/>
      <c r="B116" s="62" t="s">
        <v>176</v>
      </c>
      <c r="C116" s="63">
        <v>235</v>
      </c>
      <c r="D116" s="72"/>
      <c r="E116" s="84"/>
      <c r="F116" s="65">
        <f t="shared" si="18"/>
        <v>12.7629141716567</v>
      </c>
      <c r="G116" s="65" t="str">
        <f t="shared" si="19"/>
        <v/>
      </c>
      <c r="H116" s="66" t="str">
        <f t="shared" si="20"/>
        <v/>
      </c>
      <c r="I116" s="65">
        <f t="shared" si="21"/>
        <v>2260.39555555556</v>
      </c>
      <c r="J116" s="65" t="str">
        <f t="shared" si="22"/>
        <v/>
      </c>
      <c r="K116" s="66" t="str">
        <f t="shared" si="23"/>
        <v/>
      </c>
      <c r="L116" s="67"/>
    </row>
    <row r="117" ht="23.1" customHeight="1" spans="1:12">
      <c r="A117" s="107"/>
      <c r="B117" s="62" t="s">
        <v>177</v>
      </c>
      <c r="C117" s="63">
        <v>215</v>
      </c>
      <c r="D117" s="72"/>
      <c r="E117" s="84"/>
      <c r="F117" s="65">
        <f t="shared" si="18"/>
        <v>12.3629141716567</v>
      </c>
      <c r="G117" s="65" t="str">
        <f t="shared" si="19"/>
        <v/>
      </c>
      <c r="H117" s="66" t="str">
        <f t="shared" si="20"/>
        <v/>
      </c>
      <c r="I117" s="65">
        <f t="shared" si="21"/>
        <v>2182.61777777778</v>
      </c>
      <c r="J117" s="65" t="str">
        <f t="shared" si="22"/>
        <v/>
      </c>
      <c r="K117" s="66" t="str">
        <f t="shared" si="23"/>
        <v/>
      </c>
      <c r="L117" s="67"/>
    </row>
    <row r="118" ht="23.1" customHeight="1" spans="1:12">
      <c r="A118" s="107"/>
      <c r="B118" s="62" t="s">
        <v>178</v>
      </c>
      <c r="C118" s="63">
        <v>230</v>
      </c>
      <c r="D118" s="72"/>
      <c r="E118" s="84"/>
      <c r="F118" s="65">
        <f t="shared" si="18"/>
        <v>12.6629141716567</v>
      </c>
      <c r="G118" s="65" t="str">
        <f t="shared" si="19"/>
        <v/>
      </c>
      <c r="H118" s="66" t="str">
        <f t="shared" si="20"/>
        <v/>
      </c>
      <c r="I118" s="65">
        <f t="shared" si="21"/>
        <v>2240.95111111111</v>
      </c>
      <c r="J118" s="65" t="str">
        <f t="shared" si="22"/>
        <v/>
      </c>
      <c r="K118" s="66" t="str">
        <f t="shared" si="23"/>
        <v/>
      </c>
      <c r="L118" s="67"/>
    </row>
    <row r="119" ht="23.1" customHeight="1" spans="1:12">
      <c r="A119" s="107"/>
      <c r="B119" s="62" t="s">
        <v>179</v>
      </c>
      <c r="C119" s="63">
        <v>240</v>
      </c>
      <c r="D119" s="72"/>
      <c r="E119" s="84"/>
      <c r="F119" s="65">
        <f t="shared" si="18"/>
        <v>12.8629141716567</v>
      </c>
      <c r="G119" s="65" t="str">
        <f t="shared" si="19"/>
        <v/>
      </c>
      <c r="H119" s="66" t="str">
        <f t="shared" si="20"/>
        <v/>
      </c>
      <c r="I119" s="65">
        <f t="shared" si="21"/>
        <v>2279.84</v>
      </c>
      <c r="J119" s="65" t="str">
        <f t="shared" si="22"/>
        <v/>
      </c>
      <c r="K119" s="66" t="str">
        <f t="shared" si="23"/>
        <v/>
      </c>
      <c r="L119" s="67"/>
    </row>
    <row r="120" ht="23.1" customHeight="1" spans="1:12">
      <c r="A120" s="107"/>
      <c r="B120" s="62" t="s">
        <v>180</v>
      </c>
      <c r="C120" s="63">
        <v>295</v>
      </c>
      <c r="D120" s="72"/>
      <c r="E120" s="84"/>
      <c r="F120" s="65">
        <f t="shared" si="18"/>
        <v>13.9629141716567</v>
      </c>
      <c r="G120" s="65" t="str">
        <f t="shared" si="19"/>
        <v/>
      </c>
      <c r="H120" s="66" t="str">
        <f t="shared" si="20"/>
        <v/>
      </c>
      <c r="I120" s="65">
        <f t="shared" si="21"/>
        <v>2493.72888888889</v>
      </c>
      <c r="J120" s="65" t="str">
        <f t="shared" si="22"/>
        <v/>
      </c>
      <c r="K120" s="66" t="str">
        <f t="shared" si="23"/>
        <v/>
      </c>
      <c r="L120" s="67"/>
    </row>
    <row r="121" ht="23.1" customHeight="1" spans="1:12">
      <c r="A121" s="107"/>
      <c r="B121" s="62" t="s">
        <v>181</v>
      </c>
      <c r="C121" s="63">
        <v>295</v>
      </c>
      <c r="D121" s="72"/>
      <c r="E121" s="84"/>
      <c r="F121" s="65">
        <f t="shared" si="18"/>
        <v>13.9629141716567</v>
      </c>
      <c r="G121" s="65" t="str">
        <f t="shared" si="19"/>
        <v/>
      </c>
      <c r="H121" s="66" t="str">
        <f t="shared" si="20"/>
        <v/>
      </c>
      <c r="I121" s="65">
        <f t="shared" si="21"/>
        <v>2493.72888888889</v>
      </c>
      <c r="J121" s="65" t="str">
        <f t="shared" si="22"/>
        <v/>
      </c>
      <c r="K121" s="66" t="str">
        <f t="shared" si="23"/>
        <v/>
      </c>
      <c r="L121" s="67"/>
    </row>
    <row r="122" ht="23.1" customHeight="1" spans="1:12">
      <c r="A122" s="107"/>
      <c r="B122" s="62" t="s">
        <v>182</v>
      </c>
      <c r="C122" s="63">
        <v>295</v>
      </c>
      <c r="D122" s="72"/>
      <c r="E122" s="84"/>
      <c r="F122" s="65">
        <f t="shared" si="18"/>
        <v>13.9629141716567</v>
      </c>
      <c r="G122" s="65" t="str">
        <f t="shared" si="19"/>
        <v/>
      </c>
      <c r="H122" s="66" t="str">
        <f t="shared" si="20"/>
        <v/>
      </c>
      <c r="I122" s="65">
        <f t="shared" si="21"/>
        <v>2493.72888888889</v>
      </c>
      <c r="J122" s="65" t="str">
        <f t="shared" si="22"/>
        <v/>
      </c>
      <c r="K122" s="66" t="str">
        <f t="shared" si="23"/>
        <v/>
      </c>
      <c r="L122" s="67"/>
    </row>
    <row r="123" ht="23.1" customHeight="1" spans="1:12">
      <c r="A123" s="107"/>
      <c r="B123" s="62" t="s">
        <v>183</v>
      </c>
      <c r="C123" s="63">
        <v>65</v>
      </c>
      <c r="D123" s="72"/>
      <c r="E123" s="84"/>
      <c r="F123" s="65">
        <f t="shared" si="18"/>
        <v>9.36291417165669</v>
      </c>
      <c r="G123" s="65" t="str">
        <f t="shared" si="19"/>
        <v/>
      </c>
      <c r="H123" s="66" t="str">
        <f t="shared" si="20"/>
        <v/>
      </c>
      <c r="I123" s="65">
        <f t="shared" si="21"/>
        <v>1599.28444444444</v>
      </c>
      <c r="J123" s="65" t="str">
        <f t="shared" si="22"/>
        <v/>
      </c>
      <c r="K123" s="66" t="str">
        <f t="shared" si="23"/>
        <v/>
      </c>
      <c r="L123" s="67"/>
    </row>
    <row r="124" ht="23.1" customHeight="1" spans="1:12">
      <c r="A124" s="107"/>
      <c r="B124" s="62" t="s">
        <v>184</v>
      </c>
      <c r="C124" s="63">
        <v>260</v>
      </c>
      <c r="D124" s="72"/>
      <c r="E124" s="84"/>
      <c r="F124" s="65">
        <f t="shared" si="18"/>
        <v>13.2629141716567</v>
      </c>
      <c r="G124" s="65" t="str">
        <f t="shared" si="19"/>
        <v/>
      </c>
      <c r="H124" s="66" t="str">
        <f t="shared" si="20"/>
        <v/>
      </c>
      <c r="I124" s="65">
        <f t="shared" si="21"/>
        <v>2357.61777777778</v>
      </c>
      <c r="J124" s="65" t="str">
        <f t="shared" si="22"/>
        <v/>
      </c>
      <c r="K124" s="66" t="str">
        <f t="shared" si="23"/>
        <v/>
      </c>
      <c r="L124" s="67"/>
    </row>
    <row r="125" ht="23.1" customHeight="1" spans="1:12">
      <c r="A125" s="107"/>
      <c r="B125" s="62" t="s">
        <v>185</v>
      </c>
      <c r="C125" s="63">
        <v>320</v>
      </c>
      <c r="D125" s="72"/>
      <c r="E125" s="84"/>
      <c r="F125" s="65">
        <f t="shared" si="18"/>
        <v>14.4629141716567</v>
      </c>
      <c r="G125" s="65" t="str">
        <f t="shared" si="19"/>
        <v/>
      </c>
      <c r="H125" s="66" t="str">
        <f t="shared" si="20"/>
        <v/>
      </c>
      <c r="I125" s="65">
        <f t="shared" si="21"/>
        <v>2590.95111111111</v>
      </c>
      <c r="J125" s="65" t="str">
        <f t="shared" si="22"/>
        <v/>
      </c>
      <c r="K125" s="66" t="str">
        <f t="shared" si="23"/>
        <v/>
      </c>
      <c r="L125" s="67"/>
    </row>
    <row r="126" ht="23.1" customHeight="1" spans="1:12">
      <c r="A126" s="107"/>
      <c r="B126" s="62" t="s">
        <v>186</v>
      </c>
      <c r="C126" s="63">
        <v>270</v>
      </c>
      <c r="D126" s="72"/>
      <c r="E126" s="84"/>
      <c r="F126" s="65">
        <f t="shared" si="18"/>
        <v>13.4629141716567</v>
      </c>
      <c r="G126" s="65" t="str">
        <f t="shared" si="19"/>
        <v/>
      </c>
      <c r="H126" s="66" t="str">
        <f t="shared" si="20"/>
        <v/>
      </c>
      <c r="I126" s="65">
        <f t="shared" si="21"/>
        <v>2396.50666666667</v>
      </c>
      <c r="J126" s="65" t="str">
        <f t="shared" si="22"/>
        <v/>
      </c>
      <c r="K126" s="66" t="str">
        <f t="shared" si="23"/>
        <v/>
      </c>
      <c r="L126" s="67"/>
    </row>
    <row r="127" ht="23.1" customHeight="1" spans="1:12">
      <c r="A127" s="107"/>
      <c r="B127" s="62" t="s">
        <v>187</v>
      </c>
      <c r="C127" s="63">
        <v>290</v>
      </c>
      <c r="D127" s="72"/>
      <c r="E127" s="84"/>
      <c r="F127" s="65">
        <f t="shared" si="18"/>
        <v>13.8629141716567</v>
      </c>
      <c r="G127" s="65" t="str">
        <f t="shared" si="19"/>
        <v/>
      </c>
      <c r="H127" s="66" t="str">
        <f t="shared" si="20"/>
        <v/>
      </c>
      <c r="I127" s="65">
        <f t="shared" si="21"/>
        <v>2474.28444444444</v>
      </c>
      <c r="J127" s="65" t="str">
        <f t="shared" si="22"/>
        <v/>
      </c>
      <c r="K127" s="66" t="str">
        <f t="shared" si="23"/>
        <v/>
      </c>
      <c r="L127" s="67"/>
    </row>
    <row r="128" ht="23.1" customHeight="1" spans="1:12">
      <c r="A128" s="107"/>
      <c r="B128" s="62" t="s">
        <v>188</v>
      </c>
      <c r="C128" s="63">
        <v>85</v>
      </c>
      <c r="D128" s="72"/>
      <c r="E128" s="84">
        <v>2430</v>
      </c>
      <c r="F128" s="65">
        <f t="shared" si="18"/>
        <v>9.76291417165669</v>
      </c>
      <c r="G128" s="65" t="str">
        <f t="shared" si="19"/>
        <v/>
      </c>
      <c r="H128" s="66">
        <f t="shared" si="20"/>
        <v>8.59385229540918</v>
      </c>
      <c r="I128" s="65">
        <f t="shared" si="21"/>
        <v>1677.06222222222</v>
      </c>
      <c r="J128" s="65" t="str">
        <f t="shared" si="22"/>
        <v/>
      </c>
      <c r="K128" s="66">
        <f t="shared" si="23"/>
        <v>1435.17333333333</v>
      </c>
      <c r="L128" s="67"/>
    </row>
    <row r="129" ht="23.1" customHeight="1" spans="1:12">
      <c r="A129" s="107"/>
      <c r="B129" s="62" t="s">
        <v>189</v>
      </c>
      <c r="C129" s="63">
        <v>50</v>
      </c>
      <c r="D129" s="72"/>
      <c r="E129" s="84">
        <v>1680</v>
      </c>
      <c r="F129" s="65">
        <f t="shared" si="18"/>
        <v>9.06291417165669</v>
      </c>
      <c r="G129" s="65" t="str">
        <f t="shared" si="19"/>
        <v/>
      </c>
      <c r="H129" s="66">
        <f t="shared" si="20"/>
        <v>8.17469061876248</v>
      </c>
      <c r="I129" s="65">
        <f t="shared" si="21"/>
        <v>1540.95111111111</v>
      </c>
      <c r="J129" s="65" t="str">
        <f t="shared" si="22"/>
        <v/>
      </c>
      <c r="K129" s="66">
        <f t="shared" si="23"/>
        <v>1365.17333333333</v>
      </c>
      <c r="L129" s="67"/>
    </row>
    <row r="130" ht="23.1" customHeight="1" spans="1:12">
      <c r="A130" s="107"/>
      <c r="B130" s="62" t="s">
        <v>190</v>
      </c>
      <c r="C130" s="63">
        <v>85</v>
      </c>
      <c r="D130" s="72"/>
      <c r="E130" s="84"/>
      <c r="F130" s="65">
        <f t="shared" si="18"/>
        <v>9.76291417165669</v>
      </c>
      <c r="G130" s="65" t="str">
        <f t="shared" si="19"/>
        <v/>
      </c>
      <c r="H130" s="66" t="str">
        <f t="shared" si="20"/>
        <v/>
      </c>
      <c r="I130" s="65">
        <f t="shared" si="21"/>
        <v>1677.06222222222</v>
      </c>
      <c r="J130" s="65" t="str">
        <f t="shared" si="22"/>
        <v/>
      </c>
      <c r="K130" s="66" t="str">
        <f t="shared" si="23"/>
        <v/>
      </c>
      <c r="L130" s="67"/>
    </row>
    <row r="131" ht="23.1" customHeight="1" spans="1:12">
      <c r="A131" s="107"/>
      <c r="B131" s="62" t="s">
        <v>191</v>
      </c>
      <c r="C131" s="63">
        <v>85</v>
      </c>
      <c r="D131" s="72"/>
      <c r="E131" s="84">
        <v>2750</v>
      </c>
      <c r="F131" s="65">
        <f t="shared" si="18"/>
        <v>9.76291417165669</v>
      </c>
      <c r="G131" s="65" t="str">
        <f t="shared" si="19"/>
        <v/>
      </c>
      <c r="H131" s="66">
        <f t="shared" si="20"/>
        <v>8.77269461077844</v>
      </c>
      <c r="I131" s="65">
        <f t="shared" si="21"/>
        <v>1677.06222222222</v>
      </c>
      <c r="J131" s="65" t="str">
        <f t="shared" si="22"/>
        <v/>
      </c>
      <c r="K131" s="66">
        <f t="shared" si="23"/>
        <v>1465.04</v>
      </c>
      <c r="L131" s="67"/>
    </row>
    <row r="132" ht="23.1" customHeight="1" spans="1:12">
      <c r="A132" s="107"/>
      <c r="B132" s="62" t="s">
        <v>192</v>
      </c>
      <c r="C132" s="63">
        <v>85</v>
      </c>
      <c r="D132" s="72"/>
      <c r="E132" s="84"/>
      <c r="F132" s="65">
        <f t="shared" si="18"/>
        <v>9.76291417165669</v>
      </c>
      <c r="G132" s="65" t="str">
        <f t="shared" si="19"/>
        <v/>
      </c>
      <c r="H132" s="66" t="str">
        <f t="shared" si="20"/>
        <v/>
      </c>
      <c r="I132" s="65">
        <f t="shared" si="21"/>
        <v>1677.06222222222</v>
      </c>
      <c r="J132" s="65" t="str">
        <f t="shared" si="22"/>
        <v/>
      </c>
      <c r="K132" s="66" t="str">
        <f t="shared" si="23"/>
        <v/>
      </c>
      <c r="L132" s="67"/>
    </row>
    <row r="133" ht="23.1" customHeight="1" spans="1:12">
      <c r="A133" s="107"/>
      <c r="B133" s="62" t="s">
        <v>193</v>
      </c>
      <c r="C133" s="63">
        <v>85</v>
      </c>
      <c r="D133" s="72"/>
      <c r="E133" s="84"/>
      <c r="F133" s="65">
        <f t="shared" si="18"/>
        <v>9.76291417165669</v>
      </c>
      <c r="G133" s="65" t="str">
        <f t="shared" si="19"/>
        <v/>
      </c>
      <c r="H133" s="66" t="str">
        <f t="shared" si="20"/>
        <v/>
      </c>
      <c r="I133" s="65">
        <f t="shared" si="21"/>
        <v>1677.06222222222</v>
      </c>
      <c r="J133" s="65" t="str">
        <f t="shared" si="22"/>
        <v/>
      </c>
      <c r="K133" s="66" t="str">
        <f t="shared" si="23"/>
        <v/>
      </c>
      <c r="L133" s="67"/>
    </row>
    <row r="134" ht="23.1" customHeight="1" spans="1:12">
      <c r="A134" s="107"/>
      <c r="B134" s="62" t="s">
        <v>194</v>
      </c>
      <c r="C134" s="63">
        <v>85</v>
      </c>
      <c r="D134" s="72"/>
      <c r="E134" s="84"/>
      <c r="F134" s="65">
        <f t="shared" si="18"/>
        <v>9.76291417165669</v>
      </c>
      <c r="G134" s="65" t="str">
        <f t="shared" si="19"/>
        <v/>
      </c>
      <c r="H134" s="66" t="str">
        <f t="shared" si="20"/>
        <v/>
      </c>
      <c r="I134" s="65">
        <f t="shared" si="21"/>
        <v>1677.06222222222</v>
      </c>
      <c r="J134" s="65" t="str">
        <f t="shared" si="22"/>
        <v/>
      </c>
      <c r="K134" s="66" t="str">
        <f t="shared" si="23"/>
        <v/>
      </c>
      <c r="L134" s="67"/>
    </row>
    <row r="135" ht="23.1" customHeight="1" spans="1:12">
      <c r="A135" s="107"/>
      <c r="B135" s="62" t="s">
        <v>195</v>
      </c>
      <c r="C135" s="63">
        <v>170</v>
      </c>
      <c r="D135" s="72"/>
      <c r="E135" s="84"/>
      <c r="F135" s="65">
        <f t="shared" si="18"/>
        <v>11.4629141716567</v>
      </c>
      <c r="G135" s="65" t="str">
        <f t="shared" si="19"/>
        <v/>
      </c>
      <c r="H135" s="66" t="str">
        <f t="shared" si="20"/>
        <v/>
      </c>
      <c r="I135" s="65">
        <f t="shared" si="21"/>
        <v>2007.61777777778</v>
      </c>
      <c r="J135" s="65" t="str">
        <f t="shared" si="22"/>
        <v/>
      </c>
      <c r="K135" s="66" t="str">
        <f t="shared" si="23"/>
        <v/>
      </c>
      <c r="L135" s="67"/>
    </row>
    <row r="136" ht="23.1" customHeight="1" spans="1:12">
      <c r="A136" s="107"/>
      <c r="B136" s="62" t="s">
        <v>196</v>
      </c>
      <c r="C136" s="63">
        <v>195</v>
      </c>
      <c r="D136" s="72"/>
      <c r="E136" s="84"/>
      <c r="F136" s="65">
        <f t="shared" si="18"/>
        <v>11.9629141716567</v>
      </c>
      <c r="G136" s="65" t="str">
        <f t="shared" si="19"/>
        <v/>
      </c>
      <c r="H136" s="66" t="str">
        <f t="shared" si="20"/>
        <v/>
      </c>
      <c r="I136" s="65">
        <f t="shared" si="21"/>
        <v>2104.84</v>
      </c>
      <c r="J136" s="65" t="str">
        <f t="shared" si="22"/>
        <v/>
      </c>
      <c r="K136" s="66" t="str">
        <f t="shared" si="23"/>
        <v/>
      </c>
      <c r="L136" s="67"/>
    </row>
    <row r="137" ht="23.1" customHeight="1" spans="1:12">
      <c r="A137" s="107"/>
      <c r="B137" s="62" t="s">
        <v>197</v>
      </c>
      <c r="C137" s="63">
        <v>195</v>
      </c>
      <c r="D137" s="72"/>
      <c r="E137" s="84"/>
      <c r="F137" s="65">
        <f t="shared" si="18"/>
        <v>11.9629141716567</v>
      </c>
      <c r="G137" s="65" t="str">
        <f t="shared" si="19"/>
        <v/>
      </c>
      <c r="H137" s="66" t="str">
        <f t="shared" si="20"/>
        <v/>
      </c>
      <c r="I137" s="65">
        <f t="shared" si="21"/>
        <v>2104.84</v>
      </c>
      <c r="J137" s="65" t="str">
        <f t="shared" si="22"/>
        <v/>
      </c>
      <c r="K137" s="66" t="str">
        <f t="shared" si="23"/>
        <v/>
      </c>
      <c r="L137" s="67"/>
    </row>
    <row r="138" ht="23.1" customHeight="1" spans="1:12">
      <c r="A138" s="107"/>
      <c r="B138" s="62" t="s">
        <v>198</v>
      </c>
      <c r="C138" s="63">
        <v>205</v>
      </c>
      <c r="D138" s="72"/>
      <c r="E138" s="84"/>
      <c r="F138" s="65">
        <f t="shared" si="18"/>
        <v>12.1629141716567</v>
      </c>
      <c r="G138" s="65" t="str">
        <f t="shared" si="19"/>
        <v/>
      </c>
      <c r="H138" s="66" t="str">
        <f t="shared" si="20"/>
        <v/>
      </c>
      <c r="I138" s="65">
        <f t="shared" si="21"/>
        <v>2143.72888888889</v>
      </c>
      <c r="J138" s="65" t="str">
        <f t="shared" si="22"/>
        <v/>
      </c>
      <c r="K138" s="66" t="str">
        <f t="shared" si="23"/>
        <v/>
      </c>
      <c r="L138" s="67"/>
    </row>
    <row r="139" ht="23.1" customHeight="1" spans="1:12">
      <c r="A139" s="107"/>
      <c r="B139" s="62" t="s">
        <v>199</v>
      </c>
      <c r="C139" s="63">
        <v>195</v>
      </c>
      <c r="D139" s="72"/>
      <c r="E139" s="84"/>
      <c r="F139" s="65">
        <f t="shared" si="18"/>
        <v>11.9629141716567</v>
      </c>
      <c r="G139" s="65" t="str">
        <f t="shared" si="19"/>
        <v/>
      </c>
      <c r="H139" s="66" t="str">
        <f t="shared" si="20"/>
        <v/>
      </c>
      <c r="I139" s="65">
        <f t="shared" si="21"/>
        <v>2104.84</v>
      </c>
      <c r="J139" s="65" t="str">
        <f t="shared" si="22"/>
        <v/>
      </c>
      <c r="K139" s="66" t="str">
        <f t="shared" si="23"/>
        <v/>
      </c>
      <c r="L139" s="67"/>
    </row>
    <row r="140" ht="23.1" customHeight="1" spans="1:12">
      <c r="A140" s="107"/>
      <c r="B140" s="62" t="s">
        <v>200</v>
      </c>
      <c r="C140" s="63">
        <v>185</v>
      </c>
      <c r="D140" s="72"/>
      <c r="E140" s="84"/>
      <c r="F140" s="65">
        <f t="shared" si="18"/>
        <v>11.7629141716567</v>
      </c>
      <c r="G140" s="65" t="str">
        <f t="shared" si="19"/>
        <v/>
      </c>
      <c r="H140" s="66" t="str">
        <f t="shared" si="20"/>
        <v/>
      </c>
      <c r="I140" s="65">
        <f t="shared" si="21"/>
        <v>2065.95111111111</v>
      </c>
      <c r="J140" s="65" t="str">
        <f t="shared" si="22"/>
        <v/>
      </c>
      <c r="K140" s="66" t="str">
        <f t="shared" si="23"/>
        <v/>
      </c>
      <c r="L140" s="67"/>
    </row>
    <row r="141" ht="23.1" customHeight="1" spans="1:12">
      <c r="A141" s="107"/>
      <c r="B141" s="62" t="s">
        <v>201</v>
      </c>
      <c r="C141" s="63">
        <v>215</v>
      </c>
      <c r="D141" s="72"/>
      <c r="E141" s="84"/>
      <c r="F141" s="65">
        <f t="shared" si="18"/>
        <v>12.3629141716567</v>
      </c>
      <c r="G141" s="65" t="str">
        <f t="shared" si="19"/>
        <v/>
      </c>
      <c r="H141" s="66" t="str">
        <f t="shared" si="20"/>
        <v/>
      </c>
      <c r="I141" s="65">
        <f t="shared" si="21"/>
        <v>2182.61777777778</v>
      </c>
      <c r="J141" s="65" t="str">
        <f t="shared" si="22"/>
        <v/>
      </c>
      <c r="K141" s="66" t="str">
        <f t="shared" si="23"/>
        <v/>
      </c>
      <c r="L141" s="67"/>
    </row>
    <row r="142" ht="23.1" customHeight="1" spans="1:12">
      <c r="A142" s="107"/>
      <c r="B142" s="62" t="s">
        <v>202</v>
      </c>
      <c r="C142" s="63">
        <v>215</v>
      </c>
      <c r="D142" s="72"/>
      <c r="E142" s="84"/>
      <c r="F142" s="65">
        <f t="shared" ref="F142:F173" si="24">$J$12+(C142*$J$10/$L$10)</f>
        <v>12.3629141716567</v>
      </c>
      <c r="G142" s="65" t="str">
        <f t="shared" ref="G142:G173" si="25">IF(D142="","",($J$11-$H$7+D142)*$J$10/$H$12)</f>
        <v/>
      </c>
      <c r="H142" s="66" t="str">
        <f t="shared" ref="H142:H173" si="26">IF(E142="","",($J$11-$H$7+E142)*$J$10/$H$12)</f>
        <v/>
      </c>
      <c r="I142" s="65">
        <f t="shared" ref="I142:I173" si="27">$F$12+(C142*$J$10/$L$12)</f>
        <v>2182.61777777778</v>
      </c>
      <c r="J142" s="65" t="str">
        <f t="shared" si="22"/>
        <v/>
      </c>
      <c r="K142" s="66" t="str">
        <f t="shared" si="23"/>
        <v/>
      </c>
      <c r="L142" s="67"/>
    </row>
    <row r="143" ht="23.1" customHeight="1" spans="1:12">
      <c r="A143" s="107"/>
      <c r="B143" s="62" t="s">
        <v>203</v>
      </c>
      <c r="C143" s="63">
        <v>215</v>
      </c>
      <c r="D143" s="72"/>
      <c r="E143" s="84"/>
      <c r="F143" s="65">
        <f t="shared" si="24"/>
        <v>12.3629141716567</v>
      </c>
      <c r="G143" s="65" t="str">
        <f t="shared" si="25"/>
        <v/>
      </c>
      <c r="H143" s="66" t="str">
        <f t="shared" si="26"/>
        <v/>
      </c>
      <c r="I143" s="65">
        <f t="shared" si="27"/>
        <v>2182.61777777778</v>
      </c>
      <c r="J143" s="65" t="str">
        <f t="shared" ref="J143:J174" si="28">IF(D143="","",($J$11-$H$7+D143)*$J$10/$B$12)</f>
        <v/>
      </c>
      <c r="K143" s="66" t="str">
        <f t="shared" si="23"/>
        <v/>
      </c>
      <c r="L143" s="67"/>
    </row>
    <row r="144" ht="23.1" customHeight="1" spans="1:12">
      <c r="A144" s="107"/>
      <c r="B144" s="62" t="s">
        <v>204</v>
      </c>
      <c r="C144" s="63">
        <v>215</v>
      </c>
      <c r="D144" s="72"/>
      <c r="E144" s="84"/>
      <c r="F144" s="65">
        <f t="shared" si="24"/>
        <v>12.3629141716567</v>
      </c>
      <c r="G144" s="65" t="str">
        <f t="shared" si="25"/>
        <v/>
      </c>
      <c r="H144" s="66" t="str">
        <f t="shared" si="26"/>
        <v/>
      </c>
      <c r="I144" s="65">
        <f t="shared" si="27"/>
        <v>2182.61777777778</v>
      </c>
      <c r="J144" s="65" t="str">
        <f t="shared" si="28"/>
        <v/>
      </c>
      <c r="K144" s="66" t="str">
        <f t="shared" ref="K144:K175" si="29">IF(E144="","",($J$11-$H$7+E144)*$J$10/$B$12)</f>
        <v/>
      </c>
      <c r="L144" s="67"/>
    </row>
    <row r="145" ht="23.1" customHeight="1" spans="1:12">
      <c r="A145" s="107"/>
      <c r="B145" s="62" t="s">
        <v>205</v>
      </c>
      <c r="C145" s="63">
        <v>230</v>
      </c>
      <c r="D145" s="72"/>
      <c r="E145" s="84"/>
      <c r="F145" s="65">
        <f t="shared" si="24"/>
        <v>12.6629141716567</v>
      </c>
      <c r="G145" s="65" t="str">
        <f t="shared" si="25"/>
        <v/>
      </c>
      <c r="H145" s="66" t="str">
        <f t="shared" si="26"/>
        <v/>
      </c>
      <c r="I145" s="65">
        <f t="shared" si="27"/>
        <v>2240.95111111111</v>
      </c>
      <c r="J145" s="65" t="str">
        <f t="shared" si="28"/>
        <v/>
      </c>
      <c r="K145" s="66" t="str">
        <f t="shared" si="29"/>
        <v/>
      </c>
      <c r="L145" s="67"/>
    </row>
    <row r="146" ht="23.1" customHeight="1" spans="1:12">
      <c r="A146" s="107"/>
      <c r="B146" s="62" t="s">
        <v>206</v>
      </c>
      <c r="C146" s="63">
        <v>215</v>
      </c>
      <c r="D146" s="72"/>
      <c r="E146" s="84"/>
      <c r="F146" s="65">
        <f t="shared" si="24"/>
        <v>12.3629141716567</v>
      </c>
      <c r="G146" s="65" t="str">
        <f t="shared" si="25"/>
        <v/>
      </c>
      <c r="H146" s="66" t="str">
        <f t="shared" si="26"/>
        <v/>
      </c>
      <c r="I146" s="65">
        <f t="shared" si="27"/>
        <v>2182.61777777778</v>
      </c>
      <c r="J146" s="65" t="str">
        <f t="shared" si="28"/>
        <v/>
      </c>
      <c r="K146" s="66" t="str">
        <f t="shared" si="29"/>
        <v/>
      </c>
      <c r="L146" s="67"/>
    </row>
    <row r="147" ht="23.1" customHeight="1" spans="1:12">
      <c r="A147" s="107"/>
      <c r="B147" s="62" t="s">
        <v>207</v>
      </c>
      <c r="C147" s="63">
        <v>240</v>
      </c>
      <c r="D147" s="72"/>
      <c r="E147" s="84"/>
      <c r="F147" s="65">
        <f t="shared" si="24"/>
        <v>12.8629141716567</v>
      </c>
      <c r="G147" s="65" t="str">
        <f t="shared" si="25"/>
        <v/>
      </c>
      <c r="H147" s="66" t="str">
        <f t="shared" si="26"/>
        <v/>
      </c>
      <c r="I147" s="65">
        <f t="shared" si="27"/>
        <v>2279.84</v>
      </c>
      <c r="J147" s="65" t="str">
        <f t="shared" si="28"/>
        <v/>
      </c>
      <c r="K147" s="66" t="str">
        <f t="shared" si="29"/>
        <v/>
      </c>
      <c r="L147" s="67"/>
    </row>
    <row r="148" ht="23.1" customHeight="1" spans="1:12">
      <c r="A148" s="107"/>
      <c r="B148" s="62" t="s">
        <v>208</v>
      </c>
      <c r="C148" s="63">
        <v>225</v>
      </c>
      <c r="D148" s="72"/>
      <c r="E148" s="84"/>
      <c r="F148" s="65">
        <f t="shared" si="24"/>
        <v>12.5629141716567</v>
      </c>
      <c r="G148" s="65" t="str">
        <f t="shared" si="25"/>
        <v/>
      </c>
      <c r="H148" s="66" t="str">
        <f t="shared" si="26"/>
        <v/>
      </c>
      <c r="I148" s="65">
        <f t="shared" si="27"/>
        <v>2221.50666666667</v>
      </c>
      <c r="J148" s="65" t="str">
        <f t="shared" si="28"/>
        <v/>
      </c>
      <c r="K148" s="66" t="str">
        <f t="shared" si="29"/>
        <v/>
      </c>
      <c r="L148" s="67"/>
    </row>
    <row r="149" ht="23.1" customHeight="1" spans="1:12">
      <c r="A149" s="107"/>
      <c r="B149" s="62" t="s">
        <v>209</v>
      </c>
      <c r="C149" s="63">
        <v>235</v>
      </c>
      <c r="D149" s="72"/>
      <c r="E149" s="84"/>
      <c r="F149" s="65">
        <f t="shared" si="24"/>
        <v>12.7629141716567</v>
      </c>
      <c r="G149" s="65" t="str">
        <f t="shared" si="25"/>
        <v/>
      </c>
      <c r="H149" s="66" t="str">
        <f t="shared" si="26"/>
        <v/>
      </c>
      <c r="I149" s="65">
        <f t="shared" si="27"/>
        <v>2260.39555555556</v>
      </c>
      <c r="J149" s="65" t="str">
        <f t="shared" si="28"/>
        <v/>
      </c>
      <c r="K149" s="66" t="str">
        <f t="shared" si="29"/>
        <v/>
      </c>
      <c r="L149" s="67"/>
    </row>
    <row r="150" ht="23.1" customHeight="1" spans="1:12">
      <c r="A150" s="107"/>
      <c r="B150" s="62" t="s">
        <v>210</v>
      </c>
      <c r="C150" s="63">
        <v>220</v>
      </c>
      <c r="D150" s="72"/>
      <c r="E150" s="84"/>
      <c r="F150" s="65">
        <f t="shared" si="24"/>
        <v>12.4629141716567</v>
      </c>
      <c r="G150" s="65" t="str">
        <f t="shared" si="25"/>
        <v/>
      </c>
      <c r="H150" s="66" t="str">
        <f t="shared" si="26"/>
        <v/>
      </c>
      <c r="I150" s="65">
        <f t="shared" si="27"/>
        <v>2202.06222222222</v>
      </c>
      <c r="J150" s="65" t="str">
        <f t="shared" si="28"/>
        <v/>
      </c>
      <c r="K150" s="66" t="str">
        <f t="shared" si="29"/>
        <v/>
      </c>
      <c r="L150" s="67"/>
    </row>
    <row r="151" ht="23.1" customHeight="1" spans="1:12">
      <c r="A151" s="107"/>
      <c r="B151" s="62" t="s">
        <v>211</v>
      </c>
      <c r="C151" s="63">
        <v>225</v>
      </c>
      <c r="D151" s="72"/>
      <c r="E151" s="84"/>
      <c r="F151" s="65">
        <f t="shared" si="24"/>
        <v>12.5629141716567</v>
      </c>
      <c r="G151" s="65" t="str">
        <f t="shared" si="25"/>
        <v/>
      </c>
      <c r="H151" s="66" t="str">
        <f t="shared" si="26"/>
        <v/>
      </c>
      <c r="I151" s="65">
        <f t="shared" si="27"/>
        <v>2221.50666666667</v>
      </c>
      <c r="J151" s="65" t="str">
        <f t="shared" si="28"/>
        <v/>
      </c>
      <c r="K151" s="66" t="str">
        <f t="shared" si="29"/>
        <v/>
      </c>
      <c r="L151" s="67"/>
    </row>
    <row r="152" ht="23.1" customHeight="1" spans="1:12">
      <c r="A152" s="107"/>
      <c r="B152" s="62" t="s">
        <v>212</v>
      </c>
      <c r="C152" s="63">
        <v>255</v>
      </c>
      <c r="D152" s="72"/>
      <c r="E152" s="84"/>
      <c r="F152" s="65">
        <f t="shared" si="24"/>
        <v>13.1629141716567</v>
      </c>
      <c r="G152" s="65" t="str">
        <f t="shared" si="25"/>
        <v/>
      </c>
      <c r="H152" s="66" t="str">
        <f t="shared" si="26"/>
        <v/>
      </c>
      <c r="I152" s="65">
        <f t="shared" si="27"/>
        <v>2338.17333333333</v>
      </c>
      <c r="J152" s="65" t="str">
        <f t="shared" si="28"/>
        <v/>
      </c>
      <c r="K152" s="66" t="str">
        <f t="shared" si="29"/>
        <v/>
      </c>
      <c r="L152" s="67"/>
    </row>
    <row r="153" ht="23.1" customHeight="1" spans="1:12">
      <c r="A153" s="107"/>
      <c r="B153" s="62" t="s">
        <v>213</v>
      </c>
      <c r="C153" s="63">
        <v>240</v>
      </c>
      <c r="D153" s="72"/>
      <c r="E153" s="84"/>
      <c r="F153" s="65">
        <f t="shared" si="24"/>
        <v>12.8629141716567</v>
      </c>
      <c r="G153" s="65" t="str">
        <f t="shared" si="25"/>
        <v/>
      </c>
      <c r="H153" s="66" t="str">
        <f t="shared" si="26"/>
        <v/>
      </c>
      <c r="I153" s="65">
        <f t="shared" si="27"/>
        <v>2279.84</v>
      </c>
      <c r="J153" s="65" t="str">
        <f t="shared" si="28"/>
        <v/>
      </c>
      <c r="K153" s="66" t="str">
        <f t="shared" si="29"/>
        <v/>
      </c>
      <c r="L153" s="67"/>
    </row>
    <row r="154" ht="23.1" customHeight="1" spans="1:12">
      <c r="A154" s="107"/>
      <c r="B154" s="62" t="s">
        <v>214</v>
      </c>
      <c r="C154" s="63">
        <v>245</v>
      </c>
      <c r="D154" s="72"/>
      <c r="E154" s="84"/>
      <c r="F154" s="65">
        <f t="shared" si="24"/>
        <v>12.9629141716567</v>
      </c>
      <c r="G154" s="65" t="str">
        <f t="shared" si="25"/>
        <v/>
      </c>
      <c r="H154" s="66" t="str">
        <f t="shared" si="26"/>
        <v/>
      </c>
      <c r="I154" s="65">
        <f t="shared" si="27"/>
        <v>2299.28444444444</v>
      </c>
      <c r="J154" s="65" t="str">
        <f t="shared" si="28"/>
        <v/>
      </c>
      <c r="K154" s="66" t="str">
        <f t="shared" si="29"/>
        <v/>
      </c>
      <c r="L154" s="67"/>
    </row>
    <row r="155" ht="23.1" customHeight="1" spans="1:12">
      <c r="A155" s="107"/>
      <c r="B155" s="62" t="s">
        <v>215</v>
      </c>
      <c r="C155" s="63">
        <v>250</v>
      </c>
      <c r="D155" s="72"/>
      <c r="E155" s="84"/>
      <c r="F155" s="65">
        <f t="shared" si="24"/>
        <v>13.0629141716567</v>
      </c>
      <c r="G155" s="65" t="str">
        <f t="shared" si="25"/>
        <v/>
      </c>
      <c r="H155" s="66" t="str">
        <f t="shared" si="26"/>
        <v/>
      </c>
      <c r="I155" s="65">
        <f t="shared" si="27"/>
        <v>2318.72888888889</v>
      </c>
      <c r="J155" s="65" t="str">
        <f t="shared" si="28"/>
        <v/>
      </c>
      <c r="K155" s="66" t="str">
        <f t="shared" si="29"/>
        <v/>
      </c>
      <c r="L155" s="67"/>
    </row>
    <row r="156" ht="23.1" customHeight="1" spans="1:12">
      <c r="A156" s="107"/>
      <c r="B156" s="62" t="s">
        <v>216</v>
      </c>
      <c r="C156" s="63">
        <v>250</v>
      </c>
      <c r="D156" s="72"/>
      <c r="E156" s="84"/>
      <c r="F156" s="65">
        <f t="shared" si="24"/>
        <v>13.0629141716567</v>
      </c>
      <c r="G156" s="65" t="str">
        <f t="shared" si="25"/>
        <v/>
      </c>
      <c r="H156" s="66" t="str">
        <f t="shared" si="26"/>
        <v/>
      </c>
      <c r="I156" s="65">
        <f t="shared" si="27"/>
        <v>2318.72888888889</v>
      </c>
      <c r="J156" s="65" t="str">
        <f t="shared" si="28"/>
        <v/>
      </c>
      <c r="K156" s="66" t="str">
        <f t="shared" si="29"/>
        <v/>
      </c>
      <c r="L156" s="67"/>
    </row>
    <row r="157" ht="23.1" customHeight="1" spans="1:12">
      <c r="A157" s="107"/>
      <c r="B157" s="62" t="s">
        <v>217</v>
      </c>
      <c r="C157" s="63">
        <v>225</v>
      </c>
      <c r="D157" s="72"/>
      <c r="E157" s="84"/>
      <c r="F157" s="65">
        <f t="shared" si="24"/>
        <v>12.5629141716567</v>
      </c>
      <c r="G157" s="65" t="str">
        <f t="shared" si="25"/>
        <v/>
      </c>
      <c r="H157" s="66" t="str">
        <f t="shared" si="26"/>
        <v/>
      </c>
      <c r="I157" s="65">
        <f t="shared" si="27"/>
        <v>2221.50666666667</v>
      </c>
      <c r="J157" s="65" t="str">
        <f t="shared" si="28"/>
        <v/>
      </c>
      <c r="K157" s="66" t="str">
        <f t="shared" si="29"/>
        <v/>
      </c>
      <c r="L157" s="67"/>
    </row>
    <row r="158" ht="23.1" customHeight="1" spans="1:12">
      <c r="A158" s="107"/>
      <c r="B158" s="62" t="s">
        <v>218</v>
      </c>
      <c r="C158" s="63">
        <v>275</v>
      </c>
      <c r="D158" s="72"/>
      <c r="E158" s="84"/>
      <c r="F158" s="65">
        <f t="shared" si="24"/>
        <v>13.5629141716567</v>
      </c>
      <c r="G158" s="65" t="str">
        <f t="shared" si="25"/>
        <v/>
      </c>
      <c r="H158" s="66" t="str">
        <f t="shared" si="26"/>
        <v/>
      </c>
      <c r="I158" s="65">
        <f t="shared" si="27"/>
        <v>2415.95111111111</v>
      </c>
      <c r="J158" s="65" t="str">
        <f t="shared" si="28"/>
        <v/>
      </c>
      <c r="K158" s="66" t="str">
        <f t="shared" si="29"/>
        <v/>
      </c>
      <c r="L158" s="67"/>
    </row>
    <row r="159" ht="23.1" customHeight="1" spans="1:12">
      <c r="A159" s="107"/>
      <c r="B159" s="62" t="s">
        <v>219</v>
      </c>
      <c r="C159" s="63">
        <v>280</v>
      </c>
      <c r="D159" s="72"/>
      <c r="E159" s="84"/>
      <c r="F159" s="65">
        <f t="shared" si="24"/>
        <v>13.6629141716567</v>
      </c>
      <c r="G159" s="65" t="str">
        <f t="shared" si="25"/>
        <v/>
      </c>
      <c r="H159" s="66" t="str">
        <f t="shared" si="26"/>
        <v/>
      </c>
      <c r="I159" s="65">
        <f t="shared" si="27"/>
        <v>2435.39555555556</v>
      </c>
      <c r="J159" s="65" t="str">
        <f t="shared" si="28"/>
        <v/>
      </c>
      <c r="K159" s="66" t="str">
        <f t="shared" si="29"/>
        <v/>
      </c>
      <c r="L159" s="67"/>
    </row>
    <row r="160" ht="23.1" customHeight="1" spans="1:12">
      <c r="A160" s="107"/>
      <c r="B160" s="62" t="s">
        <v>220</v>
      </c>
      <c r="C160" s="63">
        <v>290</v>
      </c>
      <c r="D160" s="72"/>
      <c r="E160" s="84"/>
      <c r="F160" s="65">
        <f t="shared" si="24"/>
        <v>13.8629141716567</v>
      </c>
      <c r="G160" s="65" t="str">
        <f t="shared" si="25"/>
        <v/>
      </c>
      <c r="H160" s="66" t="str">
        <f t="shared" si="26"/>
        <v/>
      </c>
      <c r="I160" s="65">
        <f t="shared" si="27"/>
        <v>2474.28444444444</v>
      </c>
      <c r="J160" s="65" t="str">
        <f t="shared" si="28"/>
        <v/>
      </c>
      <c r="K160" s="66" t="str">
        <f t="shared" si="29"/>
        <v/>
      </c>
      <c r="L160" s="67"/>
    </row>
    <row r="161" ht="23.1" customHeight="1" spans="1:12">
      <c r="A161" s="107"/>
      <c r="B161" s="62" t="s">
        <v>221</v>
      </c>
      <c r="C161" s="63">
        <v>290</v>
      </c>
      <c r="D161" s="72"/>
      <c r="E161" s="84"/>
      <c r="F161" s="65">
        <f t="shared" si="24"/>
        <v>13.8629141716567</v>
      </c>
      <c r="G161" s="65" t="str">
        <f t="shared" si="25"/>
        <v/>
      </c>
      <c r="H161" s="66" t="str">
        <f t="shared" si="26"/>
        <v/>
      </c>
      <c r="I161" s="65">
        <f t="shared" si="27"/>
        <v>2474.28444444444</v>
      </c>
      <c r="J161" s="65" t="str">
        <f t="shared" si="28"/>
        <v/>
      </c>
      <c r="K161" s="66" t="str">
        <f t="shared" si="29"/>
        <v/>
      </c>
      <c r="L161" s="67"/>
    </row>
    <row r="162" ht="23.1" customHeight="1" spans="1:12">
      <c r="A162" s="107"/>
      <c r="B162" s="62" t="s">
        <v>222</v>
      </c>
      <c r="C162" s="63">
        <v>265</v>
      </c>
      <c r="D162" s="72"/>
      <c r="E162" s="84"/>
      <c r="F162" s="65">
        <f t="shared" si="24"/>
        <v>13.3629141716567</v>
      </c>
      <c r="G162" s="65" t="str">
        <f t="shared" si="25"/>
        <v/>
      </c>
      <c r="H162" s="66" t="str">
        <f t="shared" si="26"/>
        <v/>
      </c>
      <c r="I162" s="65">
        <f t="shared" si="27"/>
        <v>2377.06222222222</v>
      </c>
      <c r="J162" s="65" t="str">
        <f t="shared" si="28"/>
        <v/>
      </c>
      <c r="K162" s="66" t="str">
        <f t="shared" si="29"/>
        <v/>
      </c>
      <c r="L162" s="67"/>
    </row>
    <row r="163" ht="23.1" customHeight="1" spans="1:12">
      <c r="A163" s="107"/>
      <c r="B163" s="62" t="s">
        <v>223</v>
      </c>
      <c r="C163" s="63">
        <v>285</v>
      </c>
      <c r="D163" s="72"/>
      <c r="E163" s="84"/>
      <c r="F163" s="65">
        <f t="shared" si="24"/>
        <v>13.7629141716567</v>
      </c>
      <c r="G163" s="65" t="str">
        <f t="shared" si="25"/>
        <v/>
      </c>
      <c r="H163" s="66" t="str">
        <f t="shared" si="26"/>
        <v/>
      </c>
      <c r="I163" s="65">
        <f t="shared" si="27"/>
        <v>2454.84</v>
      </c>
      <c r="J163" s="65" t="str">
        <f t="shared" si="28"/>
        <v/>
      </c>
      <c r="K163" s="66" t="str">
        <f t="shared" si="29"/>
        <v/>
      </c>
      <c r="L163" s="67"/>
    </row>
    <row r="164" ht="23.1" customHeight="1" spans="1:12">
      <c r="A164" s="107"/>
      <c r="B164" s="62" t="s">
        <v>224</v>
      </c>
      <c r="C164" s="63">
        <v>285</v>
      </c>
      <c r="D164" s="72"/>
      <c r="E164" s="84"/>
      <c r="F164" s="65">
        <f t="shared" si="24"/>
        <v>13.7629141716567</v>
      </c>
      <c r="G164" s="65" t="str">
        <f t="shared" si="25"/>
        <v/>
      </c>
      <c r="H164" s="66" t="str">
        <f t="shared" si="26"/>
        <v/>
      </c>
      <c r="I164" s="65">
        <f t="shared" si="27"/>
        <v>2454.84</v>
      </c>
      <c r="J164" s="65" t="str">
        <f t="shared" si="28"/>
        <v/>
      </c>
      <c r="K164" s="66" t="str">
        <f t="shared" si="29"/>
        <v/>
      </c>
      <c r="L164" s="67"/>
    </row>
    <row r="165" ht="23.1" customHeight="1" spans="1:12">
      <c r="A165" s="107"/>
      <c r="B165" s="62" t="s">
        <v>225</v>
      </c>
      <c r="C165" s="63">
        <v>285</v>
      </c>
      <c r="D165" s="72"/>
      <c r="E165" s="84"/>
      <c r="F165" s="65">
        <f t="shared" si="24"/>
        <v>13.7629141716567</v>
      </c>
      <c r="G165" s="65" t="str">
        <f t="shared" si="25"/>
        <v/>
      </c>
      <c r="H165" s="66" t="str">
        <f t="shared" si="26"/>
        <v/>
      </c>
      <c r="I165" s="65">
        <f t="shared" si="27"/>
        <v>2454.84</v>
      </c>
      <c r="J165" s="65" t="str">
        <f t="shared" si="28"/>
        <v/>
      </c>
      <c r="K165" s="66" t="str">
        <f t="shared" si="29"/>
        <v/>
      </c>
      <c r="L165" s="67"/>
    </row>
    <row r="166" ht="23.1" customHeight="1" spans="1:12">
      <c r="A166" s="107"/>
      <c r="B166" s="62" t="s">
        <v>226</v>
      </c>
      <c r="C166" s="63">
        <v>285</v>
      </c>
      <c r="D166" s="72"/>
      <c r="E166" s="84"/>
      <c r="F166" s="65">
        <f t="shared" si="24"/>
        <v>13.7629141716567</v>
      </c>
      <c r="G166" s="65" t="str">
        <f t="shared" si="25"/>
        <v/>
      </c>
      <c r="H166" s="66" t="str">
        <f t="shared" si="26"/>
        <v/>
      </c>
      <c r="I166" s="65">
        <f t="shared" si="27"/>
        <v>2454.84</v>
      </c>
      <c r="J166" s="65" t="str">
        <f t="shared" si="28"/>
        <v/>
      </c>
      <c r="K166" s="66" t="str">
        <f t="shared" si="29"/>
        <v/>
      </c>
      <c r="L166" s="67"/>
    </row>
    <row r="167" ht="23.1" customHeight="1" spans="1:12">
      <c r="A167" s="107"/>
      <c r="B167" s="62" t="s">
        <v>227</v>
      </c>
      <c r="C167" s="63">
        <v>270</v>
      </c>
      <c r="D167" s="72"/>
      <c r="E167" s="84"/>
      <c r="F167" s="65">
        <f t="shared" si="24"/>
        <v>13.4629141716567</v>
      </c>
      <c r="G167" s="65" t="str">
        <f t="shared" si="25"/>
        <v/>
      </c>
      <c r="H167" s="66" t="str">
        <f t="shared" si="26"/>
        <v/>
      </c>
      <c r="I167" s="65">
        <f t="shared" si="27"/>
        <v>2396.50666666667</v>
      </c>
      <c r="J167" s="65" t="str">
        <f t="shared" si="28"/>
        <v/>
      </c>
      <c r="K167" s="66" t="str">
        <f t="shared" si="29"/>
        <v/>
      </c>
      <c r="L167" s="67"/>
    </row>
    <row r="168" ht="23.1" customHeight="1" spans="1:12">
      <c r="A168" s="107"/>
      <c r="B168" s="62" t="s">
        <v>228</v>
      </c>
      <c r="C168" s="63">
        <v>300</v>
      </c>
      <c r="D168" s="72"/>
      <c r="E168" s="84"/>
      <c r="F168" s="65">
        <f t="shared" si="24"/>
        <v>14.0629141716567</v>
      </c>
      <c r="G168" s="65" t="str">
        <f t="shared" si="25"/>
        <v/>
      </c>
      <c r="H168" s="66" t="str">
        <f t="shared" si="26"/>
        <v/>
      </c>
      <c r="I168" s="65">
        <f t="shared" si="27"/>
        <v>2513.17333333333</v>
      </c>
      <c r="J168" s="65" t="str">
        <f t="shared" si="28"/>
        <v/>
      </c>
      <c r="K168" s="66" t="str">
        <f t="shared" si="29"/>
        <v/>
      </c>
      <c r="L168" s="67"/>
    </row>
    <row r="169" ht="23.1" customHeight="1" spans="1:12">
      <c r="A169" s="107"/>
      <c r="B169" s="62" t="s">
        <v>229</v>
      </c>
      <c r="C169" s="63">
        <v>350</v>
      </c>
      <c r="D169" s="72"/>
      <c r="E169" s="84"/>
      <c r="F169" s="65">
        <f t="shared" si="24"/>
        <v>15.0629141716567</v>
      </c>
      <c r="G169" s="65" t="str">
        <f t="shared" si="25"/>
        <v/>
      </c>
      <c r="H169" s="66" t="str">
        <f t="shared" si="26"/>
        <v/>
      </c>
      <c r="I169" s="65">
        <f t="shared" si="27"/>
        <v>2707.61777777778</v>
      </c>
      <c r="J169" s="65" t="str">
        <f t="shared" si="28"/>
        <v/>
      </c>
      <c r="K169" s="66" t="str">
        <f t="shared" si="29"/>
        <v/>
      </c>
      <c r="L169" s="67"/>
    </row>
    <row r="170" ht="23.1" customHeight="1" spans="1:12">
      <c r="A170" s="107"/>
      <c r="B170" s="62" t="s">
        <v>230</v>
      </c>
      <c r="C170" s="63">
        <v>375</v>
      </c>
      <c r="D170" s="72"/>
      <c r="E170" s="84"/>
      <c r="F170" s="65">
        <f t="shared" si="24"/>
        <v>15.5629141716567</v>
      </c>
      <c r="G170" s="65" t="str">
        <f t="shared" si="25"/>
        <v/>
      </c>
      <c r="H170" s="66" t="str">
        <f t="shared" si="26"/>
        <v/>
      </c>
      <c r="I170" s="65">
        <f t="shared" si="27"/>
        <v>2804.84</v>
      </c>
      <c r="J170" s="65" t="str">
        <f t="shared" si="28"/>
        <v/>
      </c>
      <c r="K170" s="66" t="str">
        <f t="shared" si="29"/>
        <v/>
      </c>
      <c r="L170" s="67"/>
    </row>
    <row r="171" ht="23.1" customHeight="1" spans="1:12">
      <c r="A171" s="107"/>
      <c r="B171" s="62" t="s">
        <v>231</v>
      </c>
      <c r="C171" s="63">
        <v>265</v>
      </c>
      <c r="D171" s="72"/>
      <c r="E171" s="84"/>
      <c r="F171" s="65">
        <f t="shared" si="24"/>
        <v>13.3629141716567</v>
      </c>
      <c r="G171" s="65" t="str">
        <f t="shared" si="25"/>
        <v/>
      </c>
      <c r="H171" s="66" t="str">
        <f t="shared" si="26"/>
        <v/>
      </c>
      <c r="I171" s="65">
        <f t="shared" si="27"/>
        <v>2377.06222222222</v>
      </c>
      <c r="J171" s="65" t="str">
        <f t="shared" si="28"/>
        <v/>
      </c>
      <c r="K171" s="66" t="str">
        <f t="shared" si="29"/>
        <v/>
      </c>
      <c r="L171" s="67"/>
    </row>
    <row r="172" ht="23.1" customHeight="1" spans="1:12">
      <c r="A172" s="107"/>
      <c r="B172" s="62" t="s">
        <v>232</v>
      </c>
      <c r="C172" s="63">
        <v>225</v>
      </c>
      <c r="D172" s="72"/>
      <c r="E172" s="84"/>
      <c r="F172" s="65">
        <f t="shared" si="24"/>
        <v>12.5629141716567</v>
      </c>
      <c r="G172" s="65" t="str">
        <f t="shared" si="25"/>
        <v/>
      </c>
      <c r="H172" s="66" t="str">
        <f t="shared" si="26"/>
        <v/>
      </c>
      <c r="I172" s="65">
        <f t="shared" si="27"/>
        <v>2221.50666666667</v>
      </c>
      <c r="J172" s="65" t="str">
        <f t="shared" si="28"/>
        <v/>
      </c>
      <c r="K172" s="66" t="str">
        <f t="shared" si="29"/>
        <v/>
      </c>
      <c r="L172" s="67"/>
    </row>
    <row r="173" ht="23.1" customHeight="1" spans="1:12">
      <c r="A173" s="107"/>
      <c r="B173" s="62" t="s">
        <v>233</v>
      </c>
      <c r="C173" s="63">
        <v>230</v>
      </c>
      <c r="D173" s="72"/>
      <c r="E173" s="84"/>
      <c r="F173" s="65">
        <f t="shared" si="24"/>
        <v>12.6629141716567</v>
      </c>
      <c r="G173" s="65" t="str">
        <f t="shared" si="25"/>
        <v/>
      </c>
      <c r="H173" s="66" t="str">
        <f t="shared" si="26"/>
        <v/>
      </c>
      <c r="I173" s="65">
        <f t="shared" si="27"/>
        <v>2240.95111111111</v>
      </c>
      <c r="J173" s="65" t="str">
        <f t="shared" si="28"/>
        <v/>
      </c>
      <c r="K173" s="66" t="str">
        <f t="shared" si="29"/>
        <v/>
      </c>
      <c r="L173" s="67"/>
    </row>
    <row r="174" ht="23.1" customHeight="1" spans="1:12">
      <c r="A174" s="107"/>
      <c r="B174" s="62" t="s">
        <v>234</v>
      </c>
      <c r="C174" s="63">
        <v>230</v>
      </c>
      <c r="D174" s="72"/>
      <c r="E174" s="84"/>
      <c r="F174" s="65">
        <f t="shared" ref="F174:F196" si="30">$J$12+(C174*$J$10/$L$10)</f>
        <v>12.6629141716567</v>
      </c>
      <c r="G174" s="65" t="str">
        <f t="shared" ref="G174:G196" si="31">IF(D174="","",($J$11-$H$7+D174)*$J$10/$H$12)</f>
        <v/>
      </c>
      <c r="H174" s="66" t="str">
        <f t="shared" ref="H174:H196" si="32">IF(E174="","",($J$11-$H$7+E174)*$J$10/$H$12)</f>
        <v/>
      </c>
      <c r="I174" s="65">
        <f t="shared" ref="I174:I196" si="33">$F$12+(C174*$J$10/$L$12)</f>
        <v>2240.95111111111</v>
      </c>
      <c r="J174" s="65" t="str">
        <f t="shared" si="28"/>
        <v/>
      </c>
      <c r="K174" s="66" t="str">
        <f t="shared" si="29"/>
        <v/>
      </c>
      <c r="L174" s="67"/>
    </row>
    <row r="175" ht="23.1" customHeight="1" spans="1:12">
      <c r="A175" s="107"/>
      <c r="B175" s="62" t="s">
        <v>235</v>
      </c>
      <c r="C175" s="63">
        <v>230</v>
      </c>
      <c r="D175" s="72"/>
      <c r="E175" s="84"/>
      <c r="F175" s="65">
        <f t="shared" si="30"/>
        <v>12.6629141716567</v>
      </c>
      <c r="G175" s="65" t="str">
        <f t="shared" si="31"/>
        <v/>
      </c>
      <c r="H175" s="66" t="str">
        <f t="shared" si="32"/>
        <v/>
      </c>
      <c r="I175" s="65">
        <f t="shared" si="33"/>
        <v>2240.95111111111</v>
      </c>
      <c r="J175" s="65" t="str">
        <f t="shared" ref="J175:J196" si="34">IF(D175="","",($J$11-$H$7+D175)*$J$10/$B$12)</f>
        <v/>
      </c>
      <c r="K175" s="66" t="str">
        <f t="shared" si="29"/>
        <v/>
      </c>
      <c r="L175" s="67"/>
    </row>
    <row r="176" ht="23.1" customHeight="1" spans="1:12">
      <c r="A176" s="107"/>
      <c r="B176" s="62" t="s">
        <v>236</v>
      </c>
      <c r="C176" s="63">
        <v>230</v>
      </c>
      <c r="D176" s="72"/>
      <c r="E176" s="84"/>
      <c r="F176" s="65">
        <f t="shared" si="30"/>
        <v>12.6629141716567</v>
      </c>
      <c r="G176" s="65" t="str">
        <f t="shared" si="31"/>
        <v/>
      </c>
      <c r="H176" s="66" t="str">
        <f t="shared" si="32"/>
        <v/>
      </c>
      <c r="I176" s="65">
        <f t="shared" si="33"/>
        <v>2240.95111111111</v>
      </c>
      <c r="J176" s="65" t="str">
        <f t="shared" si="34"/>
        <v/>
      </c>
      <c r="K176" s="66" t="str">
        <f t="shared" ref="K176:K196" si="35">IF(E176="","",($J$11-$H$7+E176)*$J$10/$B$12)</f>
        <v/>
      </c>
      <c r="L176" s="67"/>
    </row>
    <row r="177" ht="23.1" customHeight="1" spans="1:12">
      <c r="A177" s="107"/>
      <c r="B177" s="62" t="s">
        <v>237</v>
      </c>
      <c r="C177" s="63">
        <v>50</v>
      </c>
      <c r="D177" s="72"/>
      <c r="E177" s="84">
        <v>1530</v>
      </c>
      <c r="F177" s="65">
        <f t="shared" si="30"/>
        <v>9.06291417165669</v>
      </c>
      <c r="G177" s="65" t="str">
        <f t="shared" si="31"/>
        <v/>
      </c>
      <c r="H177" s="66">
        <f t="shared" si="32"/>
        <v>8.09085828343313</v>
      </c>
      <c r="I177" s="65">
        <f t="shared" si="33"/>
        <v>1540.95111111111</v>
      </c>
      <c r="J177" s="65" t="str">
        <f t="shared" si="34"/>
        <v/>
      </c>
      <c r="K177" s="66">
        <f t="shared" si="35"/>
        <v>1351.17333333333</v>
      </c>
      <c r="L177" s="67"/>
    </row>
    <row r="178" ht="23.1" customHeight="1" spans="1:12">
      <c r="A178" s="107"/>
      <c r="B178" s="62" t="s">
        <v>238</v>
      </c>
      <c r="C178" s="63">
        <v>50</v>
      </c>
      <c r="D178" s="72"/>
      <c r="E178" s="84">
        <v>1480</v>
      </c>
      <c r="F178" s="65">
        <f t="shared" si="30"/>
        <v>9.06291417165669</v>
      </c>
      <c r="G178" s="65" t="str">
        <f t="shared" si="31"/>
        <v/>
      </c>
      <c r="H178" s="66">
        <f t="shared" si="32"/>
        <v>8.06291417165669</v>
      </c>
      <c r="I178" s="65">
        <f t="shared" si="33"/>
        <v>1540.95111111111</v>
      </c>
      <c r="J178" s="65" t="str">
        <f t="shared" si="34"/>
        <v/>
      </c>
      <c r="K178" s="66">
        <f t="shared" si="35"/>
        <v>1346.50666666667</v>
      </c>
      <c r="L178" s="67"/>
    </row>
    <row r="179" ht="23.1" customHeight="1" spans="1:12">
      <c r="A179" s="107"/>
      <c r="B179" s="62" t="s">
        <v>239</v>
      </c>
      <c r="C179" s="63">
        <v>50</v>
      </c>
      <c r="D179" s="72"/>
      <c r="E179" s="84"/>
      <c r="F179" s="65">
        <f t="shared" si="30"/>
        <v>9.06291417165669</v>
      </c>
      <c r="G179" s="65" t="str">
        <f t="shared" si="31"/>
        <v/>
      </c>
      <c r="H179" s="66" t="str">
        <f t="shared" si="32"/>
        <v/>
      </c>
      <c r="I179" s="65">
        <f t="shared" si="33"/>
        <v>1540.95111111111</v>
      </c>
      <c r="J179" s="65" t="str">
        <f t="shared" si="34"/>
        <v/>
      </c>
      <c r="K179" s="66" t="str">
        <f t="shared" si="35"/>
        <v/>
      </c>
      <c r="L179" s="67"/>
    </row>
    <row r="180" ht="23.1" customHeight="1" spans="1:12">
      <c r="A180" s="107"/>
      <c r="B180" s="62" t="s">
        <v>240</v>
      </c>
      <c r="C180" s="63">
        <v>85</v>
      </c>
      <c r="D180" s="72"/>
      <c r="E180" s="84">
        <v>2750</v>
      </c>
      <c r="F180" s="65">
        <f t="shared" si="30"/>
        <v>9.76291417165669</v>
      </c>
      <c r="G180" s="65" t="str">
        <f t="shared" si="31"/>
        <v/>
      </c>
      <c r="H180" s="66">
        <f t="shared" si="32"/>
        <v>8.77269461077844</v>
      </c>
      <c r="I180" s="65">
        <f t="shared" si="33"/>
        <v>1677.06222222222</v>
      </c>
      <c r="J180" s="65" t="str">
        <f t="shared" si="34"/>
        <v/>
      </c>
      <c r="K180" s="66">
        <f t="shared" si="35"/>
        <v>1465.04</v>
      </c>
      <c r="L180" s="67"/>
    </row>
    <row r="181" ht="23.1" customHeight="1" spans="1:12">
      <c r="A181" s="107"/>
      <c r="B181" s="62" t="s">
        <v>241</v>
      </c>
      <c r="C181" s="63">
        <v>85</v>
      </c>
      <c r="D181" s="72"/>
      <c r="E181" s="84">
        <v>2730</v>
      </c>
      <c r="F181" s="65">
        <f t="shared" si="30"/>
        <v>9.76291417165669</v>
      </c>
      <c r="G181" s="65" t="str">
        <f t="shared" si="31"/>
        <v/>
      </c>
      <c r="H181" s="66">
        <f t="shared" si="32"/>
        <v>8.76151696606786</v>
      </c>
      <c r="I181" s="65">
        <f t="shared" si="33"/>
        <v>1677.06222222222</v>
      </c>
      <c r="J181" s="65" t="str">
        <f t="shared" si="34"/>
        <v/>
      </c>
      <c r="K181" s="66">
        <f t="shared" si="35"/>
        <v>1463.17333333333</v>
      </c>
      <c r="L181" s="67"/>
    </row>
    <row r="182" ht="23.1" customHeight="1" spans="1:12">
      <c r="A182" s="107"/>
      <c r="B182" s="62" t="s">
        <v>242</v>
      </c>
      <c r="C182" s="63">
        <v>85</v>
      </c>
      <c r="D182" s="72"/>
      <c r="E182" s="84"/>
      <c r="F182" s="65">
        <f t="shared" si="30"/>
        <v>9.76291417165669</v>
      </c>
      <c r="G182" s="65" t="str">
        <f t="shared" si="31"/>
        <v/>
      </c>
      <c r="H182" s="66" t="str">
        <f t="shared" si="32"/>
        <v/>
      </c>
      <c r="I182" s="65">
        <f t="shared" si="33"/>
        <v>1677.06222222222</v>
      </c>
      <c r="J182" s="65" t="str">
        <f t="shared" si="34"/>
        <v/>
      </c>
      <c r="K182" s="66" t="str">
        <f t="shared" si="35"/>
        <v/>
      </c>
      <c r="L182" s="67"/>
    </row>
    <row r="183" ht="23.1" customHeight="1" spans="1:12">
      <c r="A183" s="107"/>
      <c r="B183" s="62" t="s">
        <v>243</v>
      </c>
      <c r="C183" s="63">
        <v>130</v>
      </c>
      <c r="D183" s="72"/>
      <c r="E183" s="84"/>
      <c r="F183" s="65">
        <f t="shared" si="30"/>
        <v>10.6629141716567</v>
      </c>
      <c r="G183" s="65" t="str">
        <f t="shared" si="31"/>
        <v/>
      </c>
      <c r="H183" s="66" t="str">
        <f t="shared" si="32"/>
        <v/>
      </c>
      <c r="I183" s="65">
        <f t="shared" si="33"/>
        <v>1852.06222222222</v>
      </c>
      <c r="J183" s="65" t="str">
        <f t="shared" si="34"/>
        <v/>
      </c>
      <c r="K183" s="66" t="str">
        <f t="shared" si="35"/>
        <v/>
      </c>
      <c r="L183" s="67"/>
    </row>
    <row r="184" ht="23.1" customHeight="1" spans="1:12">
      <c r="A184" s="107"/>
      <c r="B184" s="62" t="s">
        <v>244</v>
      </c>
      <c r="C184" s="63">
        <v>195</v>
      </c>
      <c r="D184" s="72"/>
      <c r="E184" s="84"/>
      <c r="F184" s="65">
        <f t="shared" si="30"/>
        <v>11.9629141716567</v>
      </c>
      <c r="G184" s="65" t="str">
        <f t="shared" si="31"/>
        <v/>
      </c>
      <c r="H184" s="66" t="str">
        <f t="shared" si="32"/>
        <v/>
      </c>
      <c r="I184" s="65">
        <f t="shared" si="33"/>
        <v>2104.84</v>
      </c>
      <c r="J184" s="65" t="str">
        <f t="shared" si="34"/>
        <v/>
      </c>
      <c r="K184" s="66" t="str">
        <f t="shared" si="35"/>
        <v/>
      </c>
      <c r="L184" s="67"/>
    </row>
    <row r="185" ht="23.1" customHeight="1" spans="1:12">
      <c r="A185" s="107"/>
      <c r="B185" s="62" t="s">
        <v>245</v>
      </c>
      <c r="C185" s="63">
        <v>205</v>
      </c>
      <c r="D185" s="72"/>
      <c r="E185" s="63"/>
      <c r="F185" s="65">
        <f t="shared" si="30"/>
        <v>12.1629141716567</v>
      </c>
      <c r="G185" s="65" t="str">
        <f t="shared" si="31"/>
        <v/>
      </c>
      <c r="H185" s="66" t="str">
        <f t="shared" si="32"/>
        <v/>
      </c>
      <c r="I185" s="65">
        <f t="shared" si="33"/>
        <v>2143.72888888889</v>
      </c>
      <c r="J185" s="65" t="str">
        <f t="shared" si="34"/>
        <v/>
      </c>
      <c r="K185" s="66" t="str">
        <f t="shared" si="35"/>
        <v/>
      </c>
      <c r="L185" s="67"/>
    </row>
    <row r="186" ht="23.1" customHeight="1" spans="1:12">
      <c r="A186" s="107"/>
      <c r="B186" s="62" t="s">
        <v>246</v>
      </c>
      <c r="C186" s="63">
        <v>85</v>
      </c>
      <c r="D186" s="72"/>
      <c r="E186" s="63"/>
      <c r="F186" s="65">
        <f t="shared" si="30"/>
        <v>9.76291417165669</v>
      </c>
      <c r="G186" s="65" t="str">
        <f t="shared" si="31"/>
        <v/>
      </c>
      <c r="H186" s="66" t="str">
        <f t="shared" si="32"/>
        <v/>
      </c>
      <c r="I186" s="65">
        <f t="shared" si="33"/>
        <v>1677.06222222222</v>
      </c>
      <c r="J186" s="65" t="str">
        <f t="shared" si="34"/>
        <v/>
      </c>
      <c r="K186" s="66" t="str">
        <f t="shared" si="35"/>
        <v/>
      </c>
      <c r="L186" s="67"/>
    </row>
    <row r="187" ht="23.1" customHeight="1" spans="1:12">
      <c r="A187" s="107"/>
      <c r="B187" s="62" t="s">
        <v>247</v>
      </c>
      <c r="C187" s="63">
        <v>85</v>
      </c>
      <c r="D187" s="72"/>
      <c r="E187" s="63"/>
      <c r="F187" s="65">
        <f t="shared" si="30"/>
        <v>9.76291417165669</v>
      </c>
      <c r="G187" s="65" t="str">
        <f t="shared" si="31"/>
        <v/>
      </c>
      <c r="H187" s="66" t="str">
        <f t="shared" si="32"/>
        <v/>
      </c>
      <c r="I187" s="65">
        <f t="shared" si="33"/>
        <v>1677.06222222222</v>
      </c>
      <c r="J187" s="65" t="str">
        <f t="shared" si="34"/>
        <v/>
      </c>
      <c r="K187" s="66" t="str">
        <f t="shared" si="35"/>
        <v/>
      </c>
      <c r="L187" s="67">
        <v>10.6</v>
      </c>
    </row>
    <row r="188" ht="23.1" customHeight="1" spans="1:12">
      <c r="A188" s="107"/>
      <c r="B188" s="62" t="s">
        <v>248</v>
      </c>
      <c r="C188" s="63">
        <v>245</v>
      </c>
      <c r="D188" s="72"/>
      <c r="E188" s="63"/>
      <c r="F188" s="65">
        <f t="shared" si="30"/>
        <v>12.9629141716567</v>
      </c>
      <c r="G188" s="65" t="str">
        <f t="shared" si="31"/>
        <v/>
      </c>
      <c r="H188" s="66" t="str">
        <f t="shared" si="32"/>
        <v/>
      </c>
      <c r="I188" s="65">
        <f t="shared" si="33"/>
        <v>2299.28444444444</v>
      </c>
      <c r="J188" s="65" t="str">
        <f t="shared" si="34"/>
        <v/>
      </c>
      <c r="K188" s="66" t="str">
        <f t="shared" si="35"/>
        <v/>
      </c>
      <c r="L188" s="67"/>
    </row>
    <row r="189" ht="23.1" customHeight="1" spans="1:12">
      <c r="A189" s="107"/>
      <c r="B189" s="62" t="s">
        <v>249</v>
      </c>
      <c r="C189" s="63">
        <v>250</v>
      </c>
      <c r="D189" s="72"/>
      <c r="E189" s="63"/>
      <c r="F189" s="65">
        <f t="shared" si="30"/>
        <v>13.0629141716567</v>
      </c>
      <c r="G189" s="65" t="str">
        <f t="shared" si="31"/>
        <v/>
      </c>
      <c r="H189" s="66" t="str">
        <f t="shared" si="32"/>
        <v/>
      </c>
      <c r="I189" s="65">
        <f t="shared" si="33"/>
        <v>2318.72888888889</v>
      </c>
      <c r="J189" s="65" t="str">
        <f t="shared" si="34"/>
        <v/>
      </c>
      <c r="K189" s="66" t="str">
        <f t="shared" si="35"/>
        <v/>
      </c>
      <c r="L189" s="67"/>
    </row>
    <row r="190" ht="23.1" customHeight="1" spans="1:12">
      <c r="A190" s="107"/>
      <c r="B190" s="62" t="s">
        <v>250</v>
      </c>
      <c r="C190" s="63">
        <v>225</v>
      </c>
      <c r="D190" s="72"/>
      <c r="E190" s="63"/>
      <c r="F190" s="65">
        <f t="shared" si="30"/>
        <v>12.5629141716567</v>
      </c>
      <c r="G190" s="65" t="str">
        <f t="shared" si="31"/>
        <v/>
      </c>
      <c r="H190" s="66" t="str">
        <f t="shared" si="32"/>
        <v/>
      </c>
      <c r="I190" s="65">
        <f t="shared" si="33"/>
        <v>2221.50666666667</v>
      </c>
      <c r="J190" s="65" t="str">
        <f t="shared" si="34"/>
        <v/>
      </c>
      <c r="K190" s="66" t="str">
        <f t="shared" si="35"/>
        <v/>
      </c>
      <c r="L190" s="67"/>
    </row>
    <row r="191" ht="23.1" customHeight="1" spans="1:12">
      <c r="A191" s="107"/>
      <c r="B191" s="62" t="s">
        <v>251</v>
      </c>
      <c r="C191" s="63">
        <v>290</v>
      </c>
      <c r="D191" s="72"/>
      <c r="E191" s="63"/>
      <c r="F191" s="65">
        <f t="shared" si="30"/>
        <v>13.8629141716567</v>
      </c>
      <c r="G191" s="65" t="str">
        <f t="shared" si="31"/>
        <v/>
      </c>
      <c r="H191" s="66" t="str">
        <f t="shared" si="32"/>
        <v/>
      </c>
      <c r="I191" s="65">
        <f t="shared" si="33"/>
        <v>2474.28444444444</v>
      </c>
      <c r="J191" s="65" t="str">
        <f t="shared" si="34"/>
        <v/>
      </c>
      <c r="K191" s="66" t="str">
        <f t="shared" si="35"/>
        <v/>
      </c>
      <c r="L191" s="67"/>
    </row>
    <row r="192" ht="23.1" customHeight="1" spans="1:12">
      <c r="A192" s="107"/>
      <c r="B192" s="62" t="s">
        <v>252</v>
      </c>
      <c r="C192" s="63">
        <v>285</v>
      </c>
      <c r="D192" s="72"/>
      <c r="E192" s="63"/>
      <c r="F192" s="65">
        <f t="shared" si="30"/>
        <v>13.7629141716567</v>
      </c>
      <c r="G192" s="65" t="str">
        <f t="shared" si="31"/>
        <v/>
      </c>
      <c r="H192" s="66" t="str">
        <f t="shared" si="32"/>
        <v/>
      </c>
      <c r="I192" s="65">
        <f t="shared" si="33"/>
        <v>2454.84</v>
      </c>
      <c r="J192" s="65" t="str">
        <f t="shared" si="34"/>
        <v/>
      </c>
      <c r="K192" s="66" t="str">
        <f t="shared" si="35"/>
        <v/>
      </c>
      <c r="L192" s="67"/>
    </row>
    <row r="193" ht="23.1" customHeight="1" spans="1:12">
      <c r="A193" s="107"/>
      <c r="B193" s="62" t="s">
        <v>253</v>
      </c>
      <c r="C193" s="63">
        <v>335</v>
      </c>
      <c r="D193" s="72"/>
      <c r="E193" s="63"/>
      <c r="F193" s="65">
        <f t="shared" si="30"/>
        <v>14.7629141716567</v>
      </c>
      <c r="G193" s="65" t="str">
        <f t="shared" si="31"/>
        <v/>
      </c>
      <c r="H193" s="66" t="str">
        <f t="shared" si="32"/>
        <v/>
      </c>
      <c r="I193" s="65">
        <f t="shared" si="33"/>
        <v>2649.28444444444</v>
      </c>
      <c r="J193" s="65" t="str">
        <f t="shared" si="34"/>
        <v/>
      </c>
      <c r="K193" s="66" t="str">
        <f t="shared" si="35"/>
        <v/>
      </c>
      <c r="L193" s="67"/>
    </row>
    <row r="194" ht="23.1" customHeight="1" spans="1:12">
      <c r="A194" s="107"/>
      <c r="B194" s="62" t="s">
        <v>254</v>
      </c>
      <c r="C194" s="63">
        <v>225</v>
      </c>
      <c r="D194" s="72"/>
      <c r="E194" s="63"/>
      <c r="F194" s="65">
        <f t="shared" si="30"/>
        <v>12.5629141716567</v>
      </c>
      <c r="G194" s="65" t="str">
        <f t="shared" si="31"/>
        <v/>
      </c>
      <c r="H194" s="66" t="str">
        <f t="shared" si="32"/>
        <v/>
      </c>
      <c r="I194" s="65">
        <f t="shared" si="33"/>
        <v>2221.50666666667</v>
      </c>
      <c r="J194" s="65" t="str">
        <f t="shared" si="34"/>
        <v/>
      </c>
      <c r="K194" s="66" t="str">
        <f t="shared" si="35"/>
        <v/>
      </c>
      <c r="L194" s="67"/>
    </row>
    <row r="195" ht="23.1" customHeight="1" spans="1:12">
      <c r="A195" s="107"/>
      <c r="B195" s="62" t="s">
        <v>255</v>
      </c>
      <c r="C195" s="63">
        <v>215</v>
      </c>
      <c r="D195" s="72"/>
      <c r="E195" s="63"/>
      <c r="F195" s="65">
        <f t="shared" si="30"/>
        <v>12.3629141716567</v>
      </c>
      <c r="G195" s="65" t="str">
        <f t="shared" si="31"/>
        <v/>
      </c>
      <c r="H195" s="66" t="str">
        <f t="shared" si="32"/>
        <v/>
      </c>
      <c r="I195" s="65">
        <f t="shared" si="33"/>
        <v>2182.61777777778</v>
      </c>
      <c r="J195" s="65" t="str">
        <f t="shared" si="34"/>
        <v/>
      </c>
      <c r="K195" s="66" t="str">
        <f t="shared" si="35"/>
        <v/>
      </c>
      <c r="L195" s="67"/>
    </row>
    <row r="196" ht="23.1" customHeight="1" spans="1:12">
      <c r="A196" s="107"/>
      <c r="B196" s="62" t="s">
        <v>256</v>
      </c>
      <c r="C196" s="63">
        <v>215</v>
      </c>
      <c r="D196" s="72"/>
      <c r="E196" s="63"/>
      <c r="F196" s="65">
        <f t="shared" si="30"/>
        <v>12.3629141716567</v>
      </c>
      <c r="G196" s="65" t="str">
        <f t="shared" si="31"/>
        <v/>
      </c>
      <c r="H196" s="66" t="str">
        <f t="shared" si="32"/>
        <v/>
      </c>
      <c r="I196" s="65">
        <f t="shared" si="33"/>
        <v>2182.61777777778</v>
      </c>
      <c r="J196" s="65" t="str">
        <f t="shared" si="34"/>
        <v/>
      </c>
      <c r="K196" s="66" t="str">
        <f t="shared" si="35"/>
        <v/>
      </c>
      <c r="L196" s="67"/>
    </row>
  </sheetData>
  <mergeCells count="20">
    <mergeCell ref="B1:E1"/>
    <mergeCell ref="C7:E7"/>
    <mergeCell ref="B10:F10"/>
    <mergeCell ref="B11:F11"/>
    <mergeCell ref="B12:D12"/>
    <mergeCell ref="A1:A9"/>
    <mergeCell ref="A14:A17"/>
    <mergeCell ref="A18:A23"/>
    <mergeCell ref="A24:A32"/>
    <mergeCell ref="A33:A42"/>
    <mergeCell ref="A43:A46"/>
    <mergeCell ref="A47:A52"/>
    <mergeCell ref="A53:A72"/>
    <mergeCell ref="A73:A86"/>
    <mergeCell ref="A87:A109"/>
    <mergeCell ref="A110:A196"/>
    <mergeCell ref="B2:B6"/>
    <mergeCell ref="B7:B9"/>
    <mergeCell ref="C2:E6"/>
    <mergeCell ref="C8:E9"/>
  </mergeCells>
  <conditionalFormatting sqref="B40:B42">
    <cfRule type="duplicateValues" dxfId="0" priority="2" stopIfTrue="1"/>
  </conditionalFormatting>
  <conditionalFormatting sqref="B14:B39 B43:B196">
    <cfRule type="duplicateValues" dxfId="0" priority="3" stopIfTrue="1"/>
  </conditionalFormatting>
  <pageMargins left="0.7" right="0.7" top="0.75" bottom="0.75" header="0.3" footer="0.3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8"/>
  <sheetViews>
    <sheetView workbookViewId="0">
      <pane ySplit="13" topLeftCell="A188" activePane="bottomLeft" state="frozen"/>
      <selection/>
      <selection pane="bottomLeft" activeCell="B14" sqref="B14:D14"/>
    </sheetView>
  </sheetViews>
  <sheetFormatPr defaultColWidth="14" defaultRowHeight="12.75"/>
  <cols>
    <col min="1" max="2" width="17" customWidth="1"/>
    <col min="3" max="11" width="14" customWidth="1"/>
    <col min="12" max="12" width="21" customWidth="1"/>
    <col min="13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258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3000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18"/>
      <c r="B6" s="24"/>
      <c r="C6" s="36"/>
      <c r="D6" s="37"/>
      <c r="E6" s="38"/>
      <c r="F6" s="22" t="s">
        <v>21</v>
      </c>
      <c r="G6" s="22" t="s">
        <v>22</v>
      </c>
      <c r="H6" s="39">
        <v>5000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1400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/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261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5950</v>
      </c>
      <c r="I10" s="24" t="s">
        <v>32</v>
      </c>
      <c r="J10" s="24">
        <v>7</v>
      </c>
      <c r="K10" s="41">
        <f>H10/J10</f>
        <v>850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7900</v>
      </c>
      <c r="I11" s="24" t="s">
        <v>35</v>
      </c>
      <c r="J11" s="47">
        <f>H11+K10</f>
        <v>8750</v>
      </c>
      <c r="K11" s="48">
        <f>J11*J10</f>
        <v>61250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816.666666666667</v>
      </c>
      <c r="G12" s="22" t="s">
        <v>39</v>
      </c>
      <c r="H12" s="53">
        <v>12525</v>
      </c>
      <c r="I12" s="24" t="s">
        <v>40</v>
      </c>
      <c r="J12" s="54">
        <f>F12/167</f>
        <v>4.89021956087824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82" t="s">
        <v>64</v>
      </c>
      <c r="B14" s="62" t="s">
        <v>65</v>
      </c>
      <c r="C14" s="63">
        <v>30</v>
      </c>
      <c r="D14" s="72">
        <v>1980</v>
      </c>
      <c r="E14" s="84">
        <v>1430</v>
      </c>
      <c r="F14" s="65">
        <f t="shared" ref="F14:F45" si="0">$J$12+(C14*$J$10/$L$10)</f>
        <v>5.49021956087824</v>
      </c>
      <c r="G14" s="65">
        <f t="shared" ref="G14:G45" si="1">IF(D14="","",($J$11-$H$7+D14)*$J$10/$H$12)</f>
        <v>5.21437125748503</v>
      </c>
      <c r="H14" s="66">
        <f t="shared" ref="H14:H45" si="2">IF(E14="","",($J$11-$H$7+E14)*$J$10/$H$12)</f>
        <v>4.90698602794411</v>
      </c>
      <c r="I14" s="65">
        <f t="shared" ref="I14:I45" si="3">$F$12+(C14*$J$10/$L$12)</f>
        <v>933.333333333333</v>
      </c>
      <c r="J14" s="65">
        <f t="shared" ref="J14:J45" si="4">IF(D14="","",($J$11-$H$7+D14)*$J$10/$B$12)</f>
        <v>870.8</v>
      </c>
      <c r="K14" s="66">
        <f t="shared" ref="K14:K45" si="5">IF(E14="","",($J$11-$H$7+E14)*$J$10/$B$12)</f>
        <v>819.466666666667</v>
      </c>
      <c r="L14" s="67">
        <v>6.4</v>
      </c>
    </row>
    <row r="15" ht="23.1" customHeight="1" spans="1:20">
      <c r="A15" s="82"/>
      <c r="B15" s="62" t="s">
        <v>66</v>
      </c>
      <c r="C15" s="63">
        <v>30</v>
      </c>
      <c r="D15" s="72">
        <v>1980</v>
      </c>
      <c r="E15" s="84">
        <v>1430</v>
      </c>
      <c r="F15" s="65">
        <f t="shared" si="0"/>
        <v>5.49021956087824</v>
      </c>
      <c r="G15" s="65">
        <f t="shared" si="1"/>
        <v>5.21437125748503</v>
      </c>
      <c r="H15" s="66">
        <f t="shared" si="2"/>
        <v>4.90698602794411</v>
      </c>
      <c r="I15" s="65">
        <f t="shared" si="3"/>
        <v>933.333333333333</v>
      </c>
      <c r="J15" s="65">
        <f t="shared" si="4"/>
        <v>870.8</v>
      </c>
      <c r="K15" s="66">
        <f t="shared" si="5"/>
        <v>819.466666666667</v>
      </c>
      <c r="L15" s="67">
        <v>6.4</v>
      </c>
      <c r="M15" s="7"/>
    </row>
    <row r="16" ht="23.1" customHeight="1" spans="1:20">
      <c r="A16" s="82"/>
      <c r="B16" s="62" t="s">
        <v>67</v>
      </c>
      <c r="C16" s="63">
        <v>35</v>
      </c>
      <c r="D16" s="72">
        <v>1980</v>
      </c>
      <c r="E16" s="84">
        <v>1430</v>
      </c>
      <c r="F16" s="65">
        <f t="shared" si="0"/>
        <v>5.59021956087824</v>
      </c>
      <c r="G16" s="65">
        <f t="shared" si="1"/>
        <v>5.21437125748503</v>
      </c>
      <c r="H16" s="66">
        <f t="shared" si="2"/>
        <v>4.90698602794411</v>
      </c>
      <c r="I16" s="65">
        <f t="shared" si="3"/>
        <v>952.777777777778</v>
      </c>
      <c r="J16" s="65">
        <f t="shared" si="4"/>
        <v>870.8</v>
      </c>
      <c r="K16" s="66">
        <f t="shared" si="5"/>
        <v>819.466666666667</v>
      </c>
      <c r="L16" s="67">
        <v>6.4</v>
      </c>
      <c r="M16" s="7"/>
    </row>
    <row r="17" ht="23.1" customHeight="1" spans="1:13">
      <c r="A17" s="82"/>
      <c r="B17" s="62" t="s">
        <v>68</v>
      </c>
      <c r="C17" s="63">
        <v>30</v>
      </c>
      <c r="D17" s="72">
        <v>1980</v>
      </c>
      <c r="E17" s="84">
        <v>1430</v>
      </c>
      <c r="F17" s="65">
        <f t="shared" si="0"/>
        <v>5.49021956087824</v>
      </c>
      <c r="G17" s="65">
        <f t="shared" si="1"/>
        <v>5.21437125748503</v>
      </c>
      <c r="H17" s="66">
        <f t="shared" si="2"/>
        <v>4.90698602794411</v>
      </c>
      <c r="I17" s="65">
        <f t="shared" si="3"/>
        <v>933.333333333333</v>
      </c>
      <c r="J17" s="65">
        <f t="shared" si="4"/>
        <v>870.8</v>
      </c>
      <c r="K17" s="66">
        <f t="shared" si="5"/>
        <v>819.466666666667</v>
      </c>
      <c r="L17" s="67">
        <v>6.4</v>
      </c>
      <c r="M17" s="7"/>
    </row>
    <row r="18" ht="23.1" customHeight="1" spans="1:13">
      <c r="A18" s="107" t="s">
        <v>69</v>
      </c>
      <c r="B18" s="62" t="s">
        <v>70</v>
      </c>
      <c r="C18" s="63">
        <v>70</v>
      </c>
      <c r="D18" s="72">
        <v>2980</v>
      </c>
      <c r="E18" s="84">
        <v>2730</v>
      </c>
      <c r="F18" s="65">
        <f t="shared" si="0"/>
        <v>6.29021956087824</v>
      </c>
      <c r="G18" s="65">
        <f t="shared" si="1"/>
        <v>5.77325349301397</v>
      </c>
      <c r="H18" s="66">
        <f t="shared" si="2"/>
        <v>5.63353293413174</v>
      </c>
      <c r="I18" s="65">
        <f t="shared" si="3"/>
        <v>1088.88888888889</v>
      </c>
      <c r="J18" s="65">
        <f t="shared" si="4"/>
        <v>964.133333333333</v>
      </c>
      <c r="K18" s="66">
        <f t="shared" si="5"/>
        <v>940.8</v>
      </c>
      <c r="L18" s="67">
        <v>7.2</v>
      </c>
    </row>
    <row r="19" ht="23.1" customHeight="1" spans="1:13">
      <c r="A19" s="108"/>
      <c r="B19" s="62" t="s">
        <v>71</v>
      </c>
      <c r="C19" s="63">
        <v>70</v>
      </c>
      <c r="D19" s="72">
        <v>2980</v>
      </c>
      <c r="E19" s="84">
        <v>2730</v>
      </c>
      <c r="F19" s="65">
        <f t="shared" si="0"/>
        <v>6.29021956087824</v>
      </c>
      <c r="G19" s="65">
        <f t="shared" si="1"/>
        <v>5.77325349301397</v>
      </c>
      <c r="H19" s="66">
        <f t="shared" si="2"/>
        <v>5.63353293413174</v>
      </c>
      <c r="I19" s="65">
        <f t="shared" si="3"/>
        <v>1088.88888888889</v>
      </c>
      <c r="J19" s="65">
        <f t="shared" si="4"/>
        <v>964.133333333333</v>
      </c>
      <c r="K19" s="66">
        <f t="shared" si="5"/>
        <v>940.8</v>
      </c>
      <c r="L19" s="67">
        <v>7.2</v>
      </c>
    </row>
    <row r="20" ht="23.1" customHeight="1" spans="1:13">
      <c r="A20" s="108"/>
      <c r="B20" s="62" t="s">
        <v>72</v>
      </c>
      <c r="C20" s="63">
        <v>70</v>
      </c>
      <c r="D20" s="72">
        <v>2980</v>
      </c>
      <c r="E20" s="84">
        <v>2530</v>
      </c>
      <c r="F20" s="65">
        <f t="shared" si="0"/>
        <v>6.29021956087824</v>
      </c>
      <c r="G20" s="65">
        <f t="shared" si="1"/>
        <v>5.77325349301397</v>
      </c>
      <c r="H20" s="66">
        <f t="shared" si="2"/>
        <v>5.52175648702595</v>
      </c>
      <c r="I20" s="65">
        <f t="shared" si="3"/>
        <v>1088.88888888889</v>
      </c>
      <c r="J20" s="65">
        <f t="shared" si="4"/>
        <v>964.133333333333</v>
      </c>
      <c r="K20" s="66">
        <f t="shared" si="5"/>
        <v>922.133333333333</v>
      </c>
      <c r="L20" s="67">
        <v>7.2</v>
      </c>
    </row>
    <row r="21" ht="23.1" customHeight="1" spans="1:13">
      <c r="A21" s="108"/>
      <c r="B21" s="62" t="s">
        <v>73</v>
      </c>
      <c r="C21" s="63">
        <v>70</v>
      </c>
      <c r="D21" s="72">
        <v>2980</v>
      </c>
      <c r="E21" s="84">
        <v>2530</v>
      </c>
      <c r="F21" s="65">
        <f t="shared" si="0"/>
        <v>6.29021956087824</v>
      </c>
      <c r="G21" s="65">
        <f t="shared" si="1"/>
        <v>5.77325349301397</v>
      </c>
      <c r="H21" s="66">
        <f t="shared" si="2"/>
        <v>5.52175648702595</v>
      </c>
      <c r="I21" s="65">
        <f t="shared" si="3"/>
        <v>1088.88888888889</v>
      </c>
      <c r="J21" s="65">
        <f t="shared" si="4"/>
        <v>964.133333333333</v>
      </c>
      <c r="K21" s="66">
        <f t="shared" si="5"/>
        <v>922.133333333333</v>
      </c>
      <c r="L21" s="67">
        <v>7.2</v>
      </c>
    </row>
    <row r="22" ht="23.1" customHeight="1" spans="1:13">
      <c r="A22" s="108"/>
      <c r="B22" s="62" t="s">
        <v>74</v>
      </c>
      <c r="C22" s="63">
        <v>70</v>
      </c>
      <c r="D22" s="72">
        <v>2980</v>
      </c>
      <c r="E22" s="84">
        <v>2430</v>
      </c>
      <c r="F22" s="65">
        <f t="shared" si="0"/>
        <v>6.29021956087824</v>
      </c>
      <c r="G22" s="65">
        <f t="shared" si="1"/>
        <v>5.77325349301397</v>
      </c>
      <c r="H22" s="66">
        <f t="shared" si="2"/>
        <v>5.46586826347305</v>
      </c>
      <c r="I22" s="65">
        <f t="shared" si="3"/>
        <v>1088.88888888889</v>
      </c>
      <c r="J22" s="65">
        <f t="shared" si="4"/>
        <v>964.133333333333</v>
      </c>
      <c r="K22" s="66">
        <f t="shared" si="5"/>
        <v>912.8</v>
      </c>
      <c r="L22" s="67">
        <v>7.2</v>
      </c>
    </row>
    <row r="23" ht="23.1" customHeight="1" spans="1:13">
      <c r="A23" s="108"/>
      <c r="B23" s="62" t="s">
        <v>75</v>
      </c>
      <c r="C23" s="63">
        <v>70</v>
      </c>
      <c r="D23" s="72">
        <v>2980</v>
      </c>
      <c r="E23" s="84">
        <v>2430</v>
      </c>
      <c r="F23" s="65">
        <f t="shared" si="0"/>
        <v>6.29021956087824</v>
      </c>
      <c r="G23" s="65">
        <f t="shared" si="1"/>
        <v>5.77325349301397</v>
      </c>
      <c r="H23" s="66">
        <f t="shared" si="2"/>
        <v>5.46586826347305</v>
      </c>
      <c r="I23" s="65">
        <f t="shared" si="3"/>
        <v>1088.88888888889</v>
      </c>
      <c r="J23" s="65">
        <f t="shared" si="4"/>
        <v>964.133333333333</v>
      </c>
      <c r="K23" s="66">
        <f t="shared" si="5"/>
        <v>912.8</v>
      </c>
      <c r="L23" s="67">
        <v>7.2</v>
      </c>
    </row>
    <row r="24" ht="23.1" customHeight="1" spans="1:13">
      <c r="A24" s="107" t="s">
        <v>76</v>
      </c>
      <c r="B24" s="62" t="s">
        <v>77</v>
      </c>
      <c r="C24" s="63">
        <v>55</v>
      </c>
      <c r="D24" s="72">
        <v>2180</v>
      </c>
      <c r="E24" s="84">
        <v>1430</v>
      </c>
      <c r="F24" s="65">
        <f t="shared" si="0"/>
        <v>5.99021956087824</v>
      </c>
      <c r="G24" s="65">
        <f t="shared" si="1"/>
        <v>5.32614770459082</v>
      </c>
      <c r="H24" s="66">
        <f t="shared" si="2"/>
        <v>4.90698602794411</v>
      </c>
      <c r="I24" s="65">
        <f t="shared" si="3"/>
        <v>1030.55555555556</v>
      </c>
      <c r="J24" s="65">
        <f t="shared" si="4"/>
        <v>889.466666666667</v>
      </c>
      <c r="K24" s="66">
        <f t="shared" si="5"/>
        <v>819.466666666667</v>
      </c>
      <c r="L24" s="67">
        <v>6.4</v>
      </c>
    </row>
    <row r="25" ht="23.1" customHeight="1" spans="1:13">
      <c r="A25" s="107"/>
      <c r="B25" s="62" t="s">
        <v>78</v>
      </c>
      <c r="C25" s="63">
        <v>55</v>
      </c>
      <c r="D25" s="72">
        <v>2180</v>
      </c>
      <c r="E25" s="84"/>
      <c r="F25" s="65">
        <f t="shared" si="0"/>
        <v>5.99021956087824</v>
      </c>
      <c r="G25" s="65">
        <f t="shared" si="1"/>
        <v>5.32614770459082</v>
      </c>
      <c r="H25" s="66" t="str">
        <f t="shared" si="2"/>
        <v/>
      </c>
      <c r="I25" s="65">
        <f t="shared" si="3"/>
        <v>1030.55555555556</v>
      </c>
      <c r="J25" s="65">
        <f t="shared" si="4"/>
        <v>889.466666666667</v>
      </c>
      <c r="K25" s="66" t="str">
        <f t="shared" si="5"/>
        <v/>
      </c>
      <c r="L25" s="67">
        <v>6.4</v>
      </c>
    </row>
    <row r="26" ht="23.1" customHeight="1" spans="1:13">
      <c r="A26" s="107"/>
      <c r="B26" s="62" t="s">
        <v>79</v>
      </c>
      <c r="C26" s="63">
        <v>55</v>
      </c>
      <c r="D26" s="72">
        <v>2180</v>
      </c>
      <c r="E26" s="84">
        <v>1430</v>
      </c>
      <c r="F26" s="65">
        <f t="shared" si="0"/>
        <v>5.99021956087824</v>
      </c>
      <c r="G26" s="65">
        <f t="shared" si="1"/>
        <v>5.32614770459082</v>
      </c>
      <c r="H26" s="66">
        <f t="shared" si="2"/>
        <v>4.90698602794411</v>
      </c>
      <c r="I26" s="65">
        <f t="shared" si="3"/>
        <v>1030.55555555556</v>
      </c>
      <c r="J26" s="65">
        <f t="shared" si="4"/>
        <v>889.466666666667</v>
      </c>
      <c r="K26" s="66">
        <f t="shared" si="5"/>
        <v>819.466666666667</v>
      </c>
      <c r="L26" s="67">
        <v>6.4</v>
      </c>
    </row>
    <row r="27" ht="23.1" customHeight="1" spans="1:13">
      <c r="A27" s="107"/>
      <c r="B27" s="62" t="s">
        <v>80</v>
      </c>
      <c r="C27" s="63">
        <v>50</v>
      </c>
      <c r="D27" s="72">
        <v>2180</v>
      </c>
      <c r="E27" s="84">
        <v>1480</v>
      </c>
      <c r="F27" s="65">
        <f t="shared" si="0"/>
        <v>5.89021956087824</v>
      </c>
      <c r="G27" s="65">
        <f t="shared" si="1"/>
        <v>5.32614770459082</v>
      </c>
      <c r="H27" s="66">
        <f t="shared" si="2"/>
        <v>4.93493013972056</v>
      </c>
      <c r="I27" s="65">
        <f t="shared" si="3"/>
        <v>1011.11111111111</v>
      </c>
      <c r="J27" s="65">
        <f t="shared" si="4"/>
        <v>889.466666666667</v>
      </c>
      <c r="K27" s="66">
        <f t="shared" si="5"/>
        <v>824.133333333333</v>
      </c>
      <c r="L27" s="67"/>
    </row>
    <row r="28" ht="23.1" customHeight="1" spans="1:13">
      <c r="A28" s="107"/>
      <c r="B28" s="62" t="s">
        <v>81</v>
      </c>
      <c r="C28" s="63">
        <v>50</v>
      </c>
      <c r="D28" s="72">
        <v>2180</v>
      </c>
      <c r="E28" s="84"/>
      <c r="F28" s="65">
        <f t="shared" si="0"/>
        <v>5.89021956087824</v>
      </c>
      <c r="G28" s="65">
        <f t="shared" si="1"/>
        <v>5.32614770459082</v>
      </c>
      <c r="H28" s="66" t="str">
        <f t="shared" si="2"/>
        <v/>
      </c>
      <c r="I28" s="65">
        <f t="shared" si="3"/>
        <v>1011.11111111111</v>
      </c>
      <c r="J28" s="65">
        <f t="shared" si="4"/>
        <v>889.466666666667</v>
      </c>
      <c r="K28" s="66" t="str">
        <f t="shared" si="5"/>
        <v/>
      </c>
      <c r="L28" s="67"/>
    </row>
    <row r="29" ht="23.1" customHeight="1" spans="1:13">
      <c r="A29" s="107"/>
      <c r="B29" s="62" t="s">
        <v>82</v>
      </c>
      <c r="C29" s="63">
        <v>50</v>
      </c>
      <c r="D29" s="72">
        <v>2180</v>
      </c>
      <c r="E29" s="84"/>
      <c r="F29" s="65">
        <f t="shared" si="0"/>
        <v>5.89021956087824</v>
      </c>
      <c r="G29" s="65">
        <f t="shared" si="1"/>
        <v>5.32614770459082</v>
      </c>
      <c r="H29" s="66" t="str">
        <f t="shared" si="2"/>
        <v/>
      </c>
      <c r="I29" s="65">
        <f t="shared" si="3"/>
        <v>1011.11111111111</v>
      </c>
      <c r="J29" s="65">
        <f t="shared" si="4"/>
        <v>889.466666666667</v>
      </c>
      <c r="K29" s="66" t="str">
        <f t="shared" si="5"/>
        <v/>
      </c>
      <c r="L29" s="67"/>
    </row>
    <row r="30" ht="23.1" customHeight="1" spans="1:13">
      <c r="A30" s="107"/>
      <c r="B30" s="62" t="s">
        <v>83</v>
      </c>
      <c r="C30" s="63">
        <v>65</v>
      </c>
      <c r="D30" s="72">
        <v>2180</v>
      </c>
      <c r="E30" s="84">
        <v>1580</v>
      </c>
      <c r="F30" s="65">
        <f t="shared" si="0"/>
        <v>6.19021956087824</v>
      </c>
      <c r="G30" s="65">
        <f t="shared" si="1"/>
        <v>5.32614770459082</v>
      </c>
      <c r="H30" s="66">
        <f t="shared" si="2"/>
        <v>4.99081836327345</v>
      </c>
      <c r="I30" s="65">
        <f t="shared" si="3"/>
        <v>1069.44444444444</v>
      </c>
      <c r="J30" s="65">
        <f t="shared" si="4"/>
        <v>889.466666666667</v>
      </c>
      <c r="K30" s="66">
        <f t="shared" si="5"/>
        <v>833.466666666667</v>
      </c>
      <c r="L30" s="67">
        <v>6.9</v>
      </c>
    </row>
    <row r="31" ht="23.1" customHeight="1" spans="1:13">
      <c r="A31" s="107"/>
      <c r="B31" s="62" t="s">
        <v>84</v>
      </c>
      <c r="C31" s="63">
        <v>65</v>
      </c>
      <c r="D31" s="72">
        <v>2180</v>
      </c>
      <c r="E31" s="84">
        <v>1580</v>
      </c>
      <c r="F31" s="65">
        <f t="shared" si="0"/>
        <v>6.19021956087824</v>
      </c>
      <c r="G31" s="65">
        <f t="shared" si="1"/>
        <v>5.32614770459082</v>
      </c>
      <c r="H31" s="66">
        <f t="shared" si="2"/>
        <v>4.99081836327345</v>
      </c>
      <c r="I31" s="65">
        <f t="shared" si="3"/>
        <v>1069.44444444444</v>
      </c>
      <c r="J31" s="65">
        <f t="shared" si="4"/>
        <v>889.466666666667</v>
      </c>
      <c r="K31" s="66">
        <f t="shared" si="5"/>
        <v>833.466666666667</v>
      </c>
      <c r="L31" s="67">
        <v>6.9</v>
      </c>
    </row>
    <row r="32" ht="23.1" customHeight="1" spans="1:13">
      <c r="A32" s="107"/>
      <c r="B32" s="62" t="s">
        <v>85</v>
      </c>
      <c r="C32" s="63">
        <v>65</v>
      </c>
      <c r="D32" s="72">
        <v>2180</v>
      </c>
      <c r="E32" s="84">
        <v>1580</v>
      </c>
      <c r="F32" s="65">
        <f t="shared" si="0"/>
        <v>6.19021956087824</v>
      </c>
      <c r="G32" s="65">
        <f t="shared" si="1"/>
        <v>5.32614770459082</v>
      </c>
      <c r="H32" s="66">
        <f t="shared" si="2"/>
        <v>4.99081836327345</v>
      </c>
      <c r="I32" s="65">
        <f t="shared" si="3"/>
        <v>1069.44444444444</v>
      </c>
      <c r="J32" s="65">
        <f t="shared" si="4"/>
        <v>889.466666666667</v>
      </c>
      <c r="K32" s="66">
        <f t="shared" si="5"/>
        <v>833.466666666667</v>
      </c>
      <c r="L32" s="67">
        <v>6.9</v>
      </c>
    </row>
    <row r="33" ht="23.1" customHeight="1" spans="1:20">
      <c r="A33" s="107" t="s">
        <v>86</v>
      </c>
      <c r="B33" s="62" t="s">
        <v>87</v>
      </c>
      <c r="C33" s="63">
        <v>85</v>
      </c>
      <c r="D33" s="72">
        <v>3180</v>
      </c>
      <c r="E33" s="84">
        <v>2750</v>
      </c>
      <c r="F33" s="65">
        <f t="shared" si="0"/>
        <v>6.59021956087824</v>
      </c>
      <c r="G33" s="65">
        <f t="shared" si="1"/>
        <v>5.88502994011976</v>
      </c>
      <c r="H33" s="66">
        <f t="shared" si="2"/>
        <v>5.64471057884232</v>
      </c>
      <c r="I33" s="65">
        <f t="shared" si="3"/>
        <v>1147.22222222222</v>
      </c>
      <c r="J33" s="65">
        <f t="shared" si="4"/>
        <v>982.8</v>
      </c>
      <c r="K33" s="66">
        <f t="shared" si="5"/>
        <v>942.666666666667</v>
      </c>
      <c r="L33" s="67">
        <v>7.2</v>
      </c>
    </row>
    <row r="34" ht="23.1" customHeight="1" spans="1:20">
      <c r="A34" s="107"/>
      <c r="B34" s="62" t="s">
        <v>263</v>
      </c>
      <c r="C34" s="63">
        <v>86</v>
      </c>
      <c r="D34" s="72">
        <v>3181</v>
      </c>
      <c r="E34" s="84">
        <v>2751</v>
      </c>
      <c r="F34" s="65">
        <f t="shared" si="0"/>
        <v>6.61021956087824</v>
      </c>
      <c r="G34" s="65">
        <f t="shared" si="1"/>
        <v>5.88558882235529</v>
      </c>
      <c r="H34" s="66">
        <f t="shared" si="2"/>
        <v>5.64526946107784</v>
      </c>
      <c r="I34" s="65">
        <f t="shared" si="3"/>
        <v>1151.11111111111</v>
      </c>
      <c r="J34" s="65">
        <f t="shared" si="4"/>
        <v>982.893333333333</v>
      </c>
      <c r="K34" s="66">
        <f t="shared" si="5"/>
        <v>942.76</v>
      </c>
      <c r="L34" s="67">
        <v>7.2</v>
      </c>
    </row>
    <row r="35" ht="23.1" customHeight="1" spans="1:20">
      <c r="A35" s="107"/>
      <c r="B35" s="62" t="s">
        <v>88</v>
      </c>
      <c r="C35" s="63">
        <v>85</v>
      </c>
      <c r="D35" s="72">
        <v>3180</v>
      </c>
      <c r="E35" s="84">
        <v>2750</v>
      </c>
      <c r="F35" s="65">
        <f t="shared" si="0"/>
        <v>6.59021956087824</v>
      </c>
      <c r="G35" s="65">
        <f t="shared" si="1"/>
        <v>5.88502994011976</v>
      </c>
      <c r="H35" s="66">
        <f t="shared" si="2"/>
        <v>5.64471057884232</v>
      </c>
      <c r="I35" s="65">
        <f t="shared" si="3"/>
        <v>1147.22222222222</v>
      </c>
      <c r="J35" s="65">
        <f t="shared" si="4"/>
        <v>982.8</v>
      </c>
      <c r="K35" s="66">
        <f t="shared" si="5"/>
        <v>942.666666666667</v>
      </c>
      <c r="L35" s="67">
        <v>7.2</v>
      </c>
    </row>
    <row r="36" ht="23.1" customHeight="1" spans="1:20">
      <c r="A36" s="107"/>
      <c r="B36" s="62" t="s">
        <v>94</v>
      </c>
      <c r="C36" s="63">
        <v>85</v>
      </c>
      <c r="D36" s="72">
        <v>3180</v>
      </c>
      <c r="E36" s="84">
        <v>2750</v>
      </c>
      <c r="F36" s="65">
        <f t="shared" si="0"/>
        <v>6.59021956087824</v>
      </c>
      <c r="G36" s="65">
        <f t="shared" si="1"/>
        <v>5.88502994011976</v>
      </c>
      <c r="H36" s="66">
        <f t="shared" si="2"/>
        <v>5.64471057884232</v>
      </c>
      <c r="I36" s="65">
        <f t="shared" si="3"/>
        <v>1147.22222222222</v>
      </c>
      <c r="J36" s="65">
        <f t="shared" si="4"/>
        <v>982.8</v>
      </c>
      <c r="K36" s="66">
        <f t="shared" si="5"/>
        <v>942.666666666667</v>
      </c>
      <c r="L36" s="67"/>
      <c r="M36" s="7"/>
      <c r="N36" s="7"/>
      <c r="O36" s="7"/>
      <c r="P36" s="7"/>
      <c r="Q36" s="7"/>
      <c r="R36" s="7"/>
      <c r="S36" s="7"/>
      <c r="T36" s="7"/>
    </row>
    <row r="37" ht="23.1" customHeight="1" spans="1:20">
      <c r="A37" s="107"/>
      <c r="B37" s="62" t="s">
        <v>89</v>
      </c>
      <c r="C37" s="63">
        <v>85</v>
      </c>
      <c r="D37" s="72">
        <v>3180</v>
      </c>
      <c r="E37" s="84">
        <v>2500</v>
      </c>
      <c r="F37" s="65">
        <f t="shared" si="0"/>
        <v>6.59021956087824</v>
      </c>
      <c r="G37" s="65">
        <f t="shared" si="1"/>
        <v>5.88502994011976</v>
      </c>
      <c r="H37" s="66">
        <f t="shared" si="2"/>
        <v>5.50499001996008</v>
      </c>
      <c r="I37" s="65">
        <f t="shared" si="3"/>
        <v>1147.22222222222</v>
      </c>
      <c r="J37" s="65">
        <f t="shared" si="4"/>
        <v>982.8</v>
      </c>
      <c r="K37" s="66">
        <f t="shared" si="5"/>
        <v>919.333333333333</v>
      </c>
      <c r="L37" s="67">
        <v>7.2</v>
      </c>
    </row>
    <row r="38" ht="23.1" customHeight="1" spans="1:20">
      <c r="A38" s="107"/>
      <c r="B38" s="62" t="s">
        <v>90</v>
      </c>
      <c r="C38" s="63">
        <v>85</v>
      </c>
      <c r="D38" s="72">
        <v>3180</v>
      </c>
      <c r="E38" s="84"/>
      <c r="F38" s="65">
        <f t="shared" si="0"/>
        <v>6.59021956087824</v>
      </c>
      <c r="G38" s="65">
        <f t="shared" si="1"/>
        <v>5.88502994011976</v>
      </c>
      <c r="H38" s="66" t="str">
        <f t="shared" si="2"/>
        <v/>
      </c>
      <c r="I38" s="65">
        <f t="shared" si="3"/>
        <v>1147.22222222222</v>
      </c>
      <c r="J38" s="65">
        <f t="shared" si="4"/>
        <v>982.8</v>
      </c>
      <c r="K38" s="66" t="str">
        <f t="shared" si="5"/>
        <v/>
      </c>
      <c r="L38" s="67"/>
    </row>
    <row r="39" ht="23.1" customHeight="1" spans="1:20">
      <c r="A39" s="107"/>
      <c r="B39" s="62" t="s">
        <v>91</v>
      </c>
      <c r="C39" s="63">
        <v>85</v>
      </c>
      <c r="D39" s="72">
        <v>3180</v>
      </c>
      <c r="E39" s="84">
        <v>2480</v>
      </c>
      <c r="F39" s="65">
        <f t="shared" si="0"/>
        <v>6.59021956087824</v>
      </c>
      <c r="G39" s="65">
        <f t="shared" si="1"/>
        <v>5.88502994011976</v>
      </c>
      <c r="H39" s="66">
        <f t="shared" si="2"/>
        <v>5.4938123752495</v>
      </c>
      <c r="I39" s="65">
        <f t="shared" si="3"/>
        <v>1147.22222222222</v>
      </c>
      <c r="J39" s="65">
        <f t="shared" si="4"/>
        <v>982.8</v>
      </c>
      <c r="K39" s="66">
        <f t="shared" si="5"/>
        <v>917.466666666667</v>
      </c>
      <c r="L39" s="67"/>
    </row>
    <row r="40" ht="23.1" customHeight="1" spans="1:20">
      <c r="A40" s="107"/>
      <c r="B40" s="62" t="s">
        <v>92</v>
      </c>
      <c r="C40" s="63">
        <v>85</v>
      </c>
      <c r="D40" s="72">
        <v>3180</v>
      </c>
      <c r="E40" s="84"/>
      <c r="F40" s="65">
        <f t="shared" si="0"/>
        <v>6.59021956087824</v>
      </c>
      <c r="G40" s="65">
        <f t="shared" si="1"/>
        <v>5.88502994011976</v>
      </c>
      <c r="H40" s="66" t="str">
        <f t="shared" si="2"/>
        <v/>
      </c>
      <c r="I40" s="65">
        <f t="shared" si="3"/>
        <v>1147.22222222222</v>
      </c>
      <c r="J40" s="65">
        <f t="shared" si="4"/>
        <v>982.8</v>
      </c>
      <c r="K40" s="66" t="str">
        <f t="shared" si="5"/>
        <v/>
      </c>
      <c r="L40" s="67"/>
    </row>
    <row r="41" ht="23.1" customHeight="1" spans="1:20">
      <c r="A41" s="107"/>
      <c r="B41" s="62" t="s">
        <v>93</v>
      </c>
      <c r="C41" s="63">
        <v>85</v>
      </c>
      <c r="D41" s="72">
        <v>3180</v>
      </c>
      <c r="E41" s="84"/>
      <c r="F41" s="65">
        <f t="shared" si="0"/>
        <v>6.59021956087824</v>
      </c>
      <c r="G41" s="65">
        <f t="shared" si="1"/>
        <v>5.88502994011976</v>
      </c>
      <c r="H41" s="66" t="str">
        <f t="shared" si="2"/>
        <v/>
      </c>
      <c r="I41" s="65">
        <f t="shared" si="3"/>
        <v>1147.22222222222</v>
      </c>
      <c r="J41" s="65">
        <f t="shared" si="4"/>
        <v>982.8</v>
      </c>
      <c r="K41" s="66" t="str">
        <f t="shared" si="5"/>
        <v/>
      </c>
      <c r="L41" s="67">
        <v>7.2</v>
      </c>
    </row>
    <row r="42" ht="23.1" customHeight="1" spans="1:20">
      <c r="A42" s="107" t="s">
        <v>97</v>
      </c>
      <c r="B42" s="62" t="s">
        <v>98</v>
      </c>
      <c r="C42" s="63">
        <v>160</v>
      </c>
      <c r="D42" s="72">
        <v>5380</v>
      </c>
      <c r="E42" s="84"/>
      <c r="F42" s="65">
        <f t="shared" si="0"/>
        <v>8.09021956087824</v>
      </c>
      <c r="G42" s="65">
        <f t="shared" si="1"/>
        <v>7.11457085828343</v>
      </c>
      <c r="H42" s="66" t="str">
        <f t="shared" si="2"/>
        <v/>
      </c>
      <c r="I42" s="65">
        <f t="shared" si="3"/>
        <v>1438.88888888889</v>
      </c>
      <c r="J42" s="65">
        <f t="shared" si="4"/>
        <v>1188.13333333333</v>
      </c>
      <c r="K42" s="66" t="str">
        <f t="shared" si="5"/>
        <v/>
      </c>
      <c r="L42" s="67"/>
    </row>
    <row r="43" ht="23.1" customHeight="1" spans="1:20">
      <c r="A43" s="107"/>
      <c r="B43" s="62" t="s">
        <v>99</v>
      </c>
      <c r="C43" s="63">
        <v>170</v>
      </c>
      <c r="D43" s="72">
        <v>5380</v>
      </c>
      <c r="E43" s="84"/>
      <c r="F43" s="65">
        <f t="shared" si="0"/>
        <v>8.29021956087824</v>
      </c>
      <c r="G43" s="65">
        <f t="shared" si="1"/>
        <v>7.11457085828343</v>
      </c>
      <c r="H43" s="66" t="str">
        <f t="shared" si="2"/>
        <v/>
      </c>
      <c r="I43" s="65">
        <f t="shared" si="3"/>
        <v>1477.77777777778</v>
      </c>
      <c r="J43" s="65">
        <f t="shared" si="4"/>
        <v>1188.13333333333</v>
      </c>
      <c r="K43" s="66" t="str">
        <f t="shared" si="5"/>
        <v/>
      </c>
      <c r="L43" s="67"/>
    </row>
    <row r="44" ht="23.1" customHeight="1" spans="1:20">
      <c r="A44" s="107"/>
      <c r="B44" s="62" t="s">
        <v>100</v>
      </c>
      <c r="C44" s="63">
        <v>190</v>
      </c>
      <c r="D44" s="72">
        <v>5380</v>
      </c>
      <c r="E44" s="84"/>
      <c r="F44" s="65">
        <f t="shared" si="0"/>
        <v>8.69021956087824</v>
      </c>
      <c r="G44" s="65">
        <f t="shared" si="1"/>
        <v>7.11457085828343</v>
      </c>
      <c r="H44" s="66" t="str">
        <f t="shared" si="2"/>
        <v/>
      </c>
      <c r="I44" s="65">
        <f t="shared" si="3"/>
        <v>1555.55555555556</v>
      </c>
      <c r="J44" s="65">
        <f t="shared" si="4"/>
        <v>1188.13333333333</v>
      </c>
      <c r="K44" s="66" t="str">
        <f t="shared" si="5"/>
        <v/>
      </c>
      <c r="L44" s="67">
        <v>8.8</v>
      </c>
    </row>
    <row r="45" ht="23.1" customHeight="1" spans="1:20">
      <c r="A45" s="107"/>
      <c r="B45" s="62" t="s">
        <v>101</v>
      </c>
      <c r="C45" s="63">
        <v>160</v>
      </c>
      <c r="D45" s="72">
        <v>5380</v>
      </c>
      <c r="E45" s="84">
        <v>4280</v>
      </c>
      <c r="F45" s="65">
        <f t="shared" si="0"/>
        <v>8.09021956087824</v>
      </c>
      <c r="G45" s="65">
        <f t="shared" si="1"/>
        <v>7.11457085828343</v>
      </c>
      <c r="H45" s="66">
        <f t="shared" si="2"/>
        <v>6.4998003992016</v>
      </c>
      <c r="I45" s="65">
        <f t="shared" si="3"/>
        <v>1438.88888888889</v>
      </c>
      <c r="J45" s="65">
        <f t="shared" si="4"/>
        <v>1188.13333333333</v>
      </c>
      <c r="K45" s="66">
        <f t="shared" si="5"/>
        <v>1085.46666666667</v>
      </c>
      <c r="L45" s="67">
        <v>8.3</v>
      </c>
    </row>
    <row r="46" ht="23.1" customHeight="1" spans="1:20">
      <c r="A46" s="108" t="s">
        <v>102</v>
      </c>
      <c r="B46" s="62" t="s">
        <v>103</v>
      </c>
      <c r="C46" s="63">
        <v>215</v>
      </c>
      <c r="D46" s="72">
        <v>5380</v>
      </c>
      <c r="E46" s="84"/>
      <c r="F46" s="65">
        <f t="shared" ref="F46:F77" si="6">$J$12+(C46*$J$10/$L$10)</f>
        <v>9.19021956087824</v>
      </c>
      <c r="G46" s="65">
        <f t="shared" ref="G46:G77" si="7">IF(D46="","",($J$11-$H$7+D46)*$J$10/$H$12)</f>
        <v>7.11457085828343</v>
      </c>
      <c r="H46" s="66" t="str">
        <f t="shared" ref="H46:H77" si="8">IF(E46="","",($J$11-$H$7+E46)*$J$10/$H$12)</f>
        <v/>
      </c>
      <c r="I46" s="65">
        <f t="shared" ref="I46:I77" si="9">$F$12+(C46*$J$10/$L$12)</f>
        <v>1652.77777777778</v>
      </c>
      <c r="J46" s="65">
        <f t="shared" ref="J46:J77" si="10">IF(D46="","",($J$11-$H$7+D46)*$J$10/$B$12)</f>
        <v>1188.13333333333</v>
      </c>
      <c r="K46" s="66" t="str">
        <f t="shared" ref="K46:K77" si="11">IF(E46="","",($J$11-$H$7+E46)*$J$10/$B$12)</f>
        <v/>
      </c>
      <c r="L46" s="67">
        <v>8.8</v>
      </c>
    </row>
    <row r="47" ht="23.1" customHeight="1" spans="1:20">
      <c r="A47" s="108"/>
      <c r="B47" s="62" t="s">
        <v>104</v>
      </c>
      <c r="C47" s="63">
        <v>150</v>
      </c>
      <c r="D47" s="72">
        <v>6380</v>
      </c>
      <c r="E47" s="84"/>
      <c r="F47" s="65">
        <f t="shared" si="6"/>
        <v>7.89021956087824</v>
      </c>
      <c r="G47" s="65">
        <f t="shared" si="7"/>
        <v>7.67345309381238</v>
      </c>
      <c r="H47" s="66" t="str">
        <f t="shared" si="8"/>
        <v/>
      </c>
      <c r="I47" s="65">
        <f t="shared" si="9"/>
        <v>1400</v>
      </c>
      <c r="J47" s="65">
        <f t="shared" si="10"/>
        <v>1281.46666666667</v>
      </c>
      <c r="K47" s="66" t="str">
        <f t="shared" si="11"/>
        <v/>
      </c>
      <c r="L47" s="67">
        <v>8.3</v>
      </c>
    </row>
    <row r="48" ht="23.1" customHeight="1" spans="1:20">
      <c r="A48" s="108"/>
      <c r="B48" s="62" t="s">
        <v>105</v>
      </c>
      <c r="C48" s="63">
        <v>190</v>
      </c>
      <c r="D48" s="72">
        <v>6380</v>
      </c>
      <c r="E48" s="84"/>
      <c r="F48" s="65">
        <f t="shared" si="6"/>
        <v>8.69021956087824</v>
      </c>
      <c r="G48" s="65">
        <f t="shared" si="7"/>
        <v>7.67345309381238</v>
      </c>
      <c r="H48" s="66" t="str">
        <f t="shared" si="8"/>
        <v/>
      </c>
      <c r="I48" s="65">
        <f t="shared" si="9"/>
        <v>1555.55555555556</v>
      </c>
      <c r="J48" s="65">
        <f t="shared" si="10"/>
        <v>1281.46666666667</v>
      </c>
      <c r="K48" s="66" t="str">
        <f t="shared" si="11"/>
        <v/>
      </c>
      <c r="L48" s="67">
        <v>8.8</v>
      </c>
    </row>
    <row r="49" ht="23.1" customHeight="1" spans="1:12">
      <c r="A49" s="108"/>
      <c r="B49" s="62" t="s">
        <v>106</v>
      </c>
      <c r="C49" s="63">
        <v>190</v>
      </c>
      <c r="D49" s="72">
        <v>6380</v>
      </c>
      <c r="E49" s="84"/>
      <c r="F49" s="65">
        <f t="shared" si="6"/>
        <v>8.69021956087824</v>
      </c>
      <c r="G49" s="65">
        <f t="shared" si="7"/>
        <v>7.67345309381238</v>
      </c>
      <c r="H49" s="66" t="str">
        <f t="shared" si="8"/>
        <v/>
      </c>
      <c r="I49" s="65">
        <f t="shared" si="9"/>
        <v>1555.55555555556</v>
      </c>
      <c r="J49" s="65">
        <f t="shared" si="10"/>
        <v>1281.46666666667</v>
      </c>
      <c r="K49" s="66" t="str">
        <f t="shared" si="11"/>
        <v/>
      </c>
      <c r="L49" s="67">
        <v>8.8</v>
      </c>
    </row>
    <row r="50" ht="23.1" customHeight="1" spans="1:12">
      <c r="A50" s="108"/>
      <c r="B50" s="62" t="s">
        <v>107</v>
      </c>
      <c r="C50" s="63">
        <v>190</v>
      </c>
      <c r="D50" s="72">
        <v>6380</v>
      </c>
      <c r="E50" s="84"/>
      <c r="F50" s="65">
        <f t="shared" si="6"/>
        <v>8.69021956087824</v>
      </c>
      <c r="G50" s="65">
        <f t="shared" si="7"/>
        <v>7.67345309381238</v>
      </c>
      <c r="H50" s="66" t="str">
        <f t="shared" si="8"/>
        <v/>
      </c>
      <c r="I50" s="65">
        <f t="shared" si="9"/>
        <v>1555.55555555556</v>
      </c>
      <c r="J50" s="65">
        <f t="shared" si="10"/>
        <v>1281.46666666667</v>
      </c>
      <c r="K50" s="66" t="str">
        <f t="shared" si="11"/>
        <v/>
      </c>
      <c r="L50" s="67">
        <v>8.8</v>
      </c>
    </row>
    <row r="51" ht="23.1" customHeight="1" spans="1:12">
      <c r="A51" s="108"/>
      <c r="B51" s="62" t="s">
        <v>108</v>
      </c>
      <c r="C51" s="63">
        <v>190</v>
      </c>
      <c r="D51" s="72">
        <v>6380</v>
      </c>
      <c r="E51" s="84"/>
      <c r="F51" s="65">
        <f t="shared" si="6"/>
        <v>8.69021956087824</v>
      </c>
      <c r="G51" s="65">
        <f t="shared" si="7"/>
        <v>7.67345309381238</v>
      </c>
      <c r="H51" s="66" t="str">
        <f t="shared" si="8"/>
        <v/>
      </c>
      <c r="I51" s="65">
        <f t="shared" si="9"/>
        <v>1555.55555555556</v>
      </c>
      <c r="J51" s="65">
        <f t="shared" si="10"/>
        <v>1281.46666666667</v>
      </c>
      <c r="K51" s="66" t="str">
        <f t="shared" si="11"/>
        <v/>
      </c>
      <c r="L51" s="67">
        <v>8.8</v>
      </c>
    </row>
    <row r="52" ht="23.1" customHeight="1" spans="1:12">
      <c r="A52" s="107" t="s">
        <v>109</v>
      </c>
      <c r="B52" s="62" t="s">
        <v>110</v>
      </c>
      <c r="C52" s="63">
        <v>180</v>
      </c>
      <c r="D52" s="72">
        <v>5880</v>
      </c>
      <c r="E52" s="84"/>
      <c r="F52" s="65">
        <f t="shared" si="6"/>
        <v>8.49021956087824</v>
      </c>
      <c r="G52" s="65">
        <f t="shared" si="7"/>
        <v>7.3940119760479</v>
      </c>
      <c r="H52" s="66" t="str">
        <f t="shared" si="8"/>
        <v/>
      </c>
      <c r="I52" s="65">
        <f t="shared" si="9"/>
        <v>1516.66666666667</v>
      </c>
      <c r="J52" s="65">
        <f t="shared" si="10"/>
        <v>1234.8</v>
      </c>
      <c r="K52" s="66" t="str">
        <f t="shared" si="11"/>
        <v/>
      </c>
      <c r="L52" s="67"/>
    </row>
    <row r="53" ht="23.1" customHeight="1" spans="1:12">
      <c r="A53" s="108"/>
      <c r="B53" s="62" t="s">
        <v>111</v>
      </c>
      <c r="C53" s="63">
        <v>180</v>
      </c>
      <c r="D53" s="72">
        <v>5880</v>
      </c>
      <c r="E53" s="84"/>
      <c r="F53" s="65">
        <f t="shared" si="6"/>
        <v>8.49021956087824</v>
      </c>
      <c r="G53" s="65">
        <f t="shared" si="7"/>
        <v>7.3940119760479</v>
      </c>
      <c r="H53" s="66" t="str">
        <f t="shared" si="8"/>
        <v/>
      </c>
      <c r="I53" s="65">
        <f t="shared" si="9"/>
        <v>1516.66666666667</v>
      </c>
      <c r="J53" s="65">
        <f t="shared" si="10"/>
        <v>1234.8</v>
      </c>
      <c r="K53" s="66" t="str">
        <f t="shared" si="11"/>
        <v/>
      </c>
      <c r="L53" s="67">
        <v>8.8</v>
      </c>
    </row>
    <row r="54" ht="23.1" customHeight="1" spans="1:12">
      <c r="A54" s="108"/>
      <c r="B54" s="62" t="s">
        <v>112</v>
      </c>
      <c r="C54" s="63">
        <v>180</v>
      </c>
      <c r="D54" s="72">
        <v>5880</v>
      </c>
      <c r="E54" s="84"/>
      <c r="F54" s="65">
        <f t="shared" si="6"/>
        <v>8.49021956087824</v>
      </c>
      <c r="G54" s="65">
        <f t="shared" si="7"/>
        <v>7.3940119760479</v>
      </c>
      <c r="H54" s="66" t="str">
        <f t="shared" si="8"/>
        <v/>
      </c>
      <c r="I54" s="65">
        <f t="shared" si="9"/>
        <v>1516.66666666667</v>
      </c>
      <c r="J54" s="65">
        <f t="shared" si="10"/>
        <v>1234.8</v>
      </c>
      <c r="K54" s="66" t="str">
        <f t="shared" si="11"/>
        <v/>
      </c>
      <c r="L54" s="67"/>
    </row>
    <row r="55" ht="23.1" customHeight="1" spans="1:12">
      <c r="A55" s="108"/>
      <c r="B55" s="62" t="s">
        <v>113</v>
      </c>
      <c r="C55" s="63">
        <v>195</v>
      </c>
      <c r="D55" s="72">
        <v>5880</v>
      </c>
      <c r="E55" s="84"/>
      <c r="F55" s="65">
        <f t="shared" si="6"/>
        <v>8.79021956087824</v>
      </c>
      <c r="G55" s="65">
        <f t="shared" si="7"/>
        <v>7.3940119760479</v>
      </c>
      <c r="H55" s="66" t="str">
        <f t="shared" si="8"/>
        <v/>
      </c>
      <c r="I55" s="65">
        <f t="shared" si="9"/>
        <v>1575</v>
      </c>
      <c r="J55" s="65">
        <f t="shared" si="10"/>
        <v>1234.8</v>
      </c>
      <c r="K55" s="66" t="str">
        <f t="shared" si="11"/>
        <v/>
      </c>
      <c r="L55" s="67"/>
    </row>
    <row r="56" ht="23.1" customHeight="1" spans="1:12">
      <c r="A56" s="108"/>
      <c r="B56" s="62" t="s">
        <v>114</v>
      </c>
      <c r="C56" s="63">
        <v>130</v>
      </c>
      <c r="D56" s="72">
        <v>5880</v>
      </c>
      <c r="E56" s="84"/>
      <c r="F56" s="65">
        <f t="shared" si="6"/>
        <v>7.49021956087824</v>
      </c>
      <c r="G56" s="65">
        <f t="shared" si="7"/>
        <v>7.3940119760479</v>
      </c>
      <c r="H56" s="66" t="str">
        <f t="shared" si="8"/>
        <v/>
      </c>
      <c r="I56" s="65">
        <f t="shared" si="9"/>
        <v>1322.22222222222</v>
      </c>
      <c r="J56" s="65">
        <f t="shared" si="10"/>
        <v>1234.8</v>
      </c>
      <c r="K56" s="66" t="str">
        <f t="shared" si="11"/>
        <v/>
      </c>
      <c r="L56" s="67"/>
    </row>
    <row r="57" ht="23.1" customHeight="1" spans="1:12">
      <c r="A57" s="108"/>
      <c r="B57" s="62" t="s">
        <v>115</v>
      </c>
      <c r="C57" s="63">
        <v>195</v>
      </c>
      <c r="D57" s="72">
        <v>5880</v>
      </c>
      <c r="E57" s="84"/>
      <c r="F57" s="65">
        <f t="shared" si="6"/>
        <v>8.79021956087824</v>
      </c>
      <c r="G57" s="65">
        <f t="shared" si="7"/>
        <v>7.3940119760479</v>
      </c>
      <c r="H57" s="66" t="str">
        <f t="shared" si="8"/>
        <v/>
      </c>
      <c r="I57" s="65">
        <f t="shared" si="9"/>
        <v>1575</v>
      </c>
      <c r="J57" s="65">
        <f t="shared" si="10"/>
        <v>1234.8</v>
      </c>
      <c r="K57" s="66" t="str">
        <f t="shared" si="11"/>
        <v/>
      </c>
      <c r="L57" s="67"/>
    </row>
    <row r="58" ht="23.1" customHeight="1" spans="1:12">
      <c r="A58" s="108"/>
      <c r="B58" s="62" t="s">
        <v>116</v>
      </c>
      <c r="C58" s="63">
        <v>195</v>
      </c>
      <c r="D58" s="72">
        <v>5880</v>
      </c>
      <c r="E58" s="84"/>
      <c r="F58" s="65">
        <f t="shared" si="6"/>
        <v>8.79021956087824</v>
      </c>
      <c r="G58" s="65">
        <f t="shared" si="7"/>
        <v>7.3940119760479</v>
      </c>
      <c r="H58" s="66" t="str">
        <f t="shared" si="8"/>
        <v/>
      </c>
      <c r="I58" s="65">
        <f t="shared" si="9"/>
        <v>1575</v>
      </c>
      <c r="J58" s="65">
        <f t="shared" si="10"/>
        <v>1234.8</v>
      </c>
      <c r="K58" s="66" t="str">
        <f t="shared" si="11"/>
        <v/>
      </c>
      <c r="L58" s="67"/>
    </row>
    <row r="59" ht="23.1" customHeight="1" spans="1:12">
      <c r="A59" s="108"/>
      <c r="B59" s="62" t="s">
        <v>117</v>
      </c>
      <c r="C59" s="63">
        <v>130</v>
      </c>
      <c r="D59" s="72">
        <v>5880</v>
      </c>
      <c r="E59" s="84"/>
      <c r="F59" s="65">
        <f t="shared" si="6"/>
        <v>7.49021956087824</v>
      </c>
      <c r="G59" s="65">
        <f t="shared" si="7"/>
        <v>7.3940119760479</v>
      </c>
      <c r="H59" s="66" t="str">
        <f t="shared" si="8"/>
        <v/>
      </c>
      <c r="I59" s="65">
        <f t="shared" si="9"/>
        <v>1322.22222222222</v>
      </c>
      <c r="J59" s="65">
        <f t="shared" si="10"/>
        <v>1234.8</v>
      </c>
      <c r="K59" s="66" t="str">
        <f t="shared" si="11"/>
        <v/>
      </c>
      <c r="L59" s="67"/>
    </row>
    <row r="60" ht="23.1" customHeight="1" spans="1:12">
      <c r="A60" s="108"/>
      <c r="B60" s="62" t="s">
        <v>118</v>
      </c>
      <c r="C60" s="63">
        <v>195</v>
      </c>
      <c r="D60" s="72">
        <v>7280</v>
      </c>
      <c r="E60" s="84"/>
      <c r="F60" s="65">
        <f t="shared" si="6"/>
        <v>8.79021956087824</v>
      </c>
      <c r="G60" s="65">
        <f t="shared" si="7"/>
        <v>8.17644710578842</v>
      </c>
      <c r="H60" s="66" t="str">
        <f t="shared" si="8"/>
        <v/>
      </c>
      <c r="I60" s="65">
        <f t="shared" si="9"/>
        <v>1575</v>
      </c>
      <c r="J60" s="65">
        <f t="shared" si="10"/>
        <v>1365.46666666667</v>
      </c>
      <c r="K60" s="66" t="str">
        <f t="shared" si="11"/>
        <v/>
      </c>
      <c r="L60" s="67"/>
    </row>
    <row r="61" ht="23.1" customHeight="1" spans="1:12">
      <c r="A61" s="108"/>
      <c r="B61" s="62" t="s">
        <v>119</v>
      </c>
      <c r="C61" s="63">
        <v>190</v>
      </c>
      <c r="D61" s="72">
        <v>7280</v>
      </c>
      <c r="E61" s="84"/>
      <c r="F61" s="65">
        <f t="shared" si="6"/>
        <v>8.69021956087824</v>
      </c>
      <c r="G61" s="65">
        <f t="shared" si="7"/>
        <v>8.17644710578842</v>
      </c>
      <c r="H61" s="66" t="str">
        <f t="shared" si="8"/>
        <v/>
      </c>
      <c r="I61" s="65">
        <f t="shared" si="9"/>
        <v>1555.55555555556</v>
      </c>
      <c r="J61" s="65">
        <f t="shared" si="10"/>
        <v>1365.46666666667</v>
      </c>
      <c r="K61" s="66" t="str">
        <f t="shared" si="11"/>
        <v/>
      </c>
      <c r="L61" s="67">
        <v>8.8</v>
      </c>
    </row>
    <row r="62" ht="23.1" customHeight="1" spans="1:12">
      <c r="A62" s="108"/>
      <c r="B62" s="62" t="s">
        <v>120</v>
      </c>
      <c r="C62" s="63">
        <v>220</v>
      </c>
      <c r="D62" s="72">
        <v>7280</v>
      </c>
      <c r="E62" s="84"/>
      <c r="F62" s="65">
        <f t="shared" si="6"/>
        <v>9.29021956087824</v>
      </c>
      <c r="G62" s="65">
        <f t="shared" si="7"/>
        <v>8.17644710578842</v>
      </c>
      <c r="H62" s="66" t="str">
        <f t="shared" si="8"/>
        <v/>
      </c>
      <c r="I62" s="65">
        <f t="shared" si="9"/>
        <v>1672.22222222222</v>
      </c>
      <c r="J62" s="65">
        <f t="shared" si="10"/>
        <v>1365.46666666667</v>
      </c>
      <c r="K62" s="66" t="str">
        <f t="shared" si="11"/>
        <v/>
      </c>
      <c r="L62" s="67">
        <v>8.8</v>
      </c>
    </row>
    <row r="63" ht="23.1" customHeight="1" spans="1:12">
      <c r="A63" s="108"/>
      <c r="B63" s="62" t="s">
        <v>121</v>
      </c>
      <c r="C63" s="63">
        <v>190</v>
      </c>
      <c r="D63" s="72">
        <v>7280</v>
      </c>
      <c r="E63" s="84"/>
      <c r="F63" s="65">
        <f t="shared" si="6"/>
        <v>8.69021956087824</v>
      </c>
      <c r="G63" s="65">
        <f t="shared" si="7"/>
        <v>8.17644710578842</v>
      </c>
      <c r="H63" s="66" t="str">
        <f t="shared" si="8"/>
        <v/>
      </c>
      <c r="I63" s="65">
        <f t="shared" si="9"/>
        <v>1555.55555555556</v>
      </c>
      <c r="J63" s="65">
        <f t="shared" si="10"/>
        <v>1365.46666666667</v>
      </c>
      <c r="K63" s="66" t="str">
        <f t="shared" si="11"/>
        <v/>
      </c>
      <c r="L63" s="67"/>
    </row>
    <row r="64" ht="23.1" customHeight="1" spans="1:12">
      <c r="A64" s="108"/>
      <c r="B64" s="62" t="s">
        <v>122</v>
      </c>
      <c r="C64" s="63">
        <v>190</v>
      </c>
      <c r="D64" s="72">
        <v>7280</v>
      </c>
      <c r="E64" s="84"/>
      <c r="F64" s="65">
        <f t="shared" si="6"/>
        <v>8.69021956087824</v>
      </c>
      <c r="G64" s="65">
        <f t="shared" si="7"/>
        <v>8.17644710578842</v>
      </c>
      <c r="H64" s="66" t="str">
        <f t="shared" si="8"/>
        <v/>
      </c>
      <c r="I64" s="65">
        <f t="shared" si="9"/>
        <v>1555.55555555556</v>
      </c>
      <c r="J64" s="65">
        <f t="shared" si="10"/>
        <v>1365.46666666667</v>
      </c>
      <c r="K64" s="66" t="str">
        <f t="shared" si="11"/>
        <v/>
      </c>
      <c r="L64" s="67"/>
    </row>
    <row r="65" ht="23.1" customHeight="1" spans="1:12">
      <c r="A65" s="108"/>
      <c r="B65" s="62" t="s">
        <v>123</v>
      </c>
      <c r="C65" s="63">
        <v>225</v>
      </c>
      <c r="D65" s="72">
        <v>7280</v>
      </c>
      <c r="E65" s="84"/>
      <c r="F65" s="65">
        <f t="shared" si="6"/>
        <v>9.39021956087824</v>
      </c>
      <c r="G65" s="65">
        <f t="shared" si="7"/>
        <v>8.17644710578842</v>
      </c>
      <c r="H65" s="66" t="str">
        <f t="shared" si="8"/>
        <v/>
      </c>
      <c r="I65" s="65">
        <f t="shared" si="9"/>
        <v>1691.66666666667</v>
      </c>
      <c r="J65" s="65">
        <f t="shared" si="10"/>
        <v>1365.46666666667</v>
      </c>
      <c r="K65" s="66" t="str">
        <f t="shared" si="11"/>
        <v/>
      </c>
      <c r="L65" s="67"/>
    </row>
    <row r="66" ht="23.1" customHeight="1" spans="1:12">
      <c r="A66" s="108"/>
      <c r="B66" s="62" t="s">
        <v>124</v>
      </c>
      <c r="C66" s="63">
        <v>225</v>
      </c>
      <c r="D66" s="72">
        <v>7280</v>
      </c>
      <c r="E66" s="84"/>
      <c r="F66" s="65">
        <f t="shared" si="6"/>
        <v>9.39021956087824</v>
      </c>
      <c r="G66" s="65">
        <f t="shared" si="7"/>
        <v>8.17644710578842</v>
      </c>
      <c r="H66" s="66" t="str">
        <f t="shared" si="8"/>
        <v/>
      </c>
      <c r="I66" s="65">
        <f t="shared" si="9"/>
        <v>1691.66666666667</v>
      </c>
      <c r="J66" s="65">
        <f t="shared" si="10"/>
        <v>1365.46666666667</v>
      </c>
      <c r="K66" s="66" t="str">
        <f t="shared" si="11"/>
        <v/>
      </c>
      <c r="L66" s="67"/>
    </row>
    <row r="67" ht="23.1" customHeight="1" spans="1:12">
      <c r="A67" s="108"/>
      <c r="B67" s="62" t="s">
        <v>125</v>
      </c>
      <c r="C67" s="63">
        <v>190</v>
      </c>
      <c r="D67" s="72">
        <v>7280</v>
      </c>
      <c r="E67" s="84"/>
      <c r="F67" s="65">
        <f t="shared" si="6"/>
        <v>8.69021956087824</v>
      </c>
      <c r="G67" s="65">
        <f t="shared" si="7"/>
        <v>8.17644710578842</v>
      </c>
      <c r="H67" s="66" t="str">
        <f t="shared" si="8"/>
        <v/>
      </c>
      <c r="I67" s="65">
        <f t="shared" si="9"/>
        <v>1555.55555555556</v>
      </c>
      <c r="J67" s="65">
        <f t="shared" si="10"/>
        <v>1365.46666666667</v>
      </c>
      <c r="K67" s="66" t="str">
        <f t="shared" si="11"/>
        <v/>
      </c>
      <c r="L67" s="67"/>
    </row>
    <row r="68" ht="23.1" customHeight="1" spans="1:12">
      <c r="A68" s="108"/>
      <c r="B68" s="62" t="s">
        <v>126</v>
      </c>
      <c r="C68" s="63">
        <v>235</v>
      </c>
      <c r="D68" s="72">
        <v>7280</v>
      </c>
      <c r="E68" s="84"/>
      <c r="F68" s="65">
        <f t="shared" si="6"/>
        <v>9.59021956087824</v>
      </c>
      <c r="G68" s="65">
        <f t="shared" si="7"/>
        <v>8.17644710578842</v>
      </c>
      <c r="H68" s="66" t="str">
        <f t="shared" si="8"/>
        <v/>
      </c>
      <c r="I68" s="65">
        <f t="shared" si="9"/>
        <v>1730.55555555556</v>
      </c>
      <c r="J68" s="65">
        <f t="shared" si="10"/>
        <v>1365.46666666667</v>
      </c>
      <c r="K68" s="66" t="str">
        <f t="shared" si="11"/>
        <v/>
      </c>
      <c r="L68" s="67">
        <v>10.1</v>
      </c>
    </row>
    <row r="69" ht="23.1" customHeight="1" spans="1:12">
      <c r="A69" s="108"/>
      <c r="B69" s="62" t="s">
        <v>127</v>
      </c>
      <c r="C69" s="63">
        <v>215</v>
      </c>
      <c r="D69" s="72">
        <v>7280</v>
      </c>
      <c r="E69" s="84"/>
      <c r="F69" s="65">
        <f t="shared" si="6"/>
        <v>9.19021956087824</v>
      </c>
      <c r="G69" s="65">
        <f t="shared" si="7"/>
        <v>8.17644710578842</v>
      </c>
      <c r="H69" s="66" t="str">
        <f t="shared" si="8"/>
        <v/>
      </c>
      <c r="I69" s="65">
        <f t="shared" si="9"/>
        <v>1652.77777777778</v>
      </c>
      <c r="J69" s="65">
        <f t="shared" si="10"/>
        <v>1365.46666666667</v>
      </c>
      <c r="K69" s="66" t="str">
        <f t="shared" si="11"/>
        <v/>
      </c>
      <c r="L69" s="67"/>
    </row>
    <row r="70" ht="23.1" customHeight="1" spans="1:12">
      <c r="A70" s="108"/>
      <c r="B70" s="62" t="s">
        <v>128</v>
      </c>
      <c r="C70" s="63">
        <v>235</v>
      </c>
      <c r="D70" s="72">
        <v>7280</v>
      </c>
      <c r="E70" s="84"/>
      <c r="F70" s="65">
        <f t="shared" si="6"/>
        <v>9.59021956087824</v>
      </c>
      <c r="G70" s="65">
        <f t="shared" si="7"/>
        <v>8.17644710578842</v>
      </c>
      <c r="H70" s="66" t="str">
        <f t="shared" si="8"/>
        <v/>
      </c>
      <c r="I70" s="65">
        <f t="shared" si="9"/>
        <v>1730.55555555556</v>
      </c>
      <c r="J70" s="65">
        <f t="shared" si="10"/>
        <v>1365.46666666667</v>
      </c>
      <c r="K70" s="66" t="str">
        <f t="shared" si="11"/>
        <v/>
      </c>
      <c r="L70" s="67"/>
    </row>
    <row r="71" ht="23.1" customHeight="1" spans="1:12">
      <c r="A71" s="108"/>
      <c r="B71" s="62" t="s">
        <v>129</v>
      </c>
      <c r="C71" s="63">
        <v>235</v>
      </c>
      <c r="D71" s="72">
        <v>7280</v>
      </c>
      <c r="E71" s="84"/>
      <c r="F71" s="65">
        <f t="shared" si="6"/>
        <v>9.59021956087824</v>
      </c>
      <c r="G71" s="65">
        <f t="shared" si="7"/>
        <v>8.17644710578842</v>
      </c>
      <c r="H71" s="66" t="str">
        <f t="shared" si="8"/>
        <v/>
      </c>
      <c r="I71" s="65">
        <f t="shared" si="9"/>
        <v>1730.55555555556</v>
      </c>
      <c r="J71" s="65">
        <f t="shared" si="10"/>
        <v>1365.46666666667</v>
      </c>
      <c r="K71" s="66" t="str">
        <f t="shared" si="11"/>
        <v/>
      </c>
      <c r="L71" s="67"/>
    </row>
    <row r="72" ht="23.1" customHeight="1" spans="1:12">
      <c r="A72" s="107" t="s">
        <v>130</v>
      </c>
      <c r="B72" s="62" t="s">
        <v>131</v>
      </c>
      <c r="C72" s="63">
        <v>255</v>
      </c>
      <c r="D72" s="72">
        <v>7980</v>
      </c>
      <c r="E72" s="84"/>
      <c r="F72" s="65">
        <f t="shared" si="6"/>
        <v>9.99021956087824</v>
      </c>
      <c r="G72" s="65">
        <f t="shared" si="7"/>
        <v>8.56766467065868</v>
      </c>
      <c r="H72" s="66" t="str">
        <f t="shared" si="8"/>
        <v/>
      </c>
      <c r="I72" s="65">
        <f t="shared" si="9"/>
        <v>1808.33333333333</v>
      </c>
      <c r="J72" s="65">
        <f t="shared" si="10"/>
        <v>1430.8</v>
      </c>
      <c r="K72" s="66" t="str">
        <f t="shared" si="11"/>
        <v/>
      </c>
      <c r="L72" s="67">
        <v>9.6</v>
      </c>
    </row>
    <row r="73" ht="23.1" customHeight="1" spans="1:12">
      <c r="A73" s="107"/>
      <c r="B73" s="62" t="s">
        <v>132</v>
      </c>
      <c r="C73" s="63">
        <v>265</v>
      </c>
      <c r="D73" s="72">
        <v>7980</v>
      </c>
      <c r="E73" s="84"/>
      <c r="F73" s="65">
        <f t="shared" si="6"/>
        <v>10.1902195608782</v>
      </c>
      <c r="G73" s="65">
        <f t="shared" si="7"/>
        <v>8.56766467065868</v>
      </c>
      <c r="H73" s="66" t="str">
        <f t="shared" si="8"/>
        <v/>
      </c>
      <c r="I73" s="65">
        <f t="shared" si="9"/>
        <v>1847.22222222222</v>
      </c>
      <c r="J73" s="65">
        <f t="shared" si="10"/>
        <v>1430.8</v>
      </c>
      <c r="K73" s="66" t="str">
        <f t="shared" si="11"/>
        <v/>
      </c>
      <c r="L73" s="67"/>
    </row>
    <row r="74" ht="23.1" customHeight="1" spans="1:12">
      <c r="A74" s="107"/>
      <c r="B74" s="62" t="s">
        <v>133</v>
      </c>
      <c r="C74" s="63">
        <v>265</v>
      </c>
      <c r="D74" s="72">
        <v>7980</v>
      </c>
      <c r="E74" s="84"/>
      <c r="F74" s="65">
        <f t="shared" si="6"/>
        <v>10.1902195608782</v>
      </c>
      <c r="G74" s="65">
        <f t="shared" si="7"/>
        <v>8.56766467065868</v>
      </c>
      <c r="H74" s="66" t="str">
        <f t="shared" si="8"/>
        <v/>
      </c>
      <c r="I74" s="65">
        <f t="shared" si="9"/>
        <v>1847.22222222222</v>
      </c>
      <c r="J74" s="65">
        <f t="shared" si="10"/>
        <v>1430.8</v>
      </c>
      <c r="K74" s="66" t="str">
        <f t="shared" si="11"/>
        <v/>
      </c>
      <c r="L74" s="67">
        <v>9.6</v>
      </c>
    </row>
    <row r="75" ht="23.1" customHeight="1" spans="1:12">
      <c r="A75" s="107"/>
      <c r="B75" s="62" t="s">
        <v>134</v>
      </c>
      <c r="C75" s="63">
        <v>265</v>
      </c>
      <c r="D75" s="72">
        <v>7980</v>
      </c>
      <c r="E75" s="84"/>
      <c r="F75" s="65">
        <f t="shared" si="6"/>
        <v>10.1902195608782</v>
      </c>
      <c r="G75" s="65">
        <f t="shared" si="7"/>
        <v>8.56766467065868</v>
      </c>
      <c r="H75" s="66" t="str">
        <f t="shared" si="8"/>
        <v/>
      </c>
      <c r="I75" s="65">
        <f t="shared" si="9"/>
        <v>1847.22222222222</v>
      </c>
      <c r="J75" s="65">
        <f t="shared" si="10"/>
        <v>1430.8</v>
      </c>
      <c r="K75" s="66" t="str">
        <f t="shared" si="11"/>
        <v/>
      </c>
      <c r="L75" s="67">
        <v>9.6</v>
      </c>
    </row>
    <row r="76" ht="23.1" customHeight="1" spans="1:12">
      <c r="A76" s="107"/>
      <c r="B76" s="62" t="s">
        <v>135</v>
      </c>
      <c r="C76" s="63">
        <v>230</v>
      </c>
      <c r="D76" s="72">
        <v>7980</v>
      </c>
      <c r="E76" s="84"/>
      <c r="F76" s="65">
        <f t="shared" si="6"/>
        <v>9.49021956087824</v>
      </c>
      <c r="G76" s="65">
        <f t="shared" si="7"/>
        <v>8.56766467065868</v>
      </c>
      <c r="H76" s="66" t="str">
        <f t="shared" si="8"/>
        <v/>
      </c>
      <c r="I76" s="65">
        <f t="shared" si="9"/>
        <v>1711.11111111111</v>
      </c>
      <c r="J76" s="65">
        <f t="shared" si="10"/>
        <v>1430.8</v>
      </c>
      <c r="K76" s="66" t="str">
        <f t="shared" si="11"/>
        <v/>
      </c>
      <c r="L76" s="67"/>
    </row>
    <row r="77" ht="23.1" customHeight="1" spans="1:12">
      <c r="A77" s="107"/>
      <c r="B77" s="62" t="s">
        <v>136</v>
      </c>
      <c r="C77" s="63">
        <v>230</v>
      </c>
      <c r="D77" s="72">
        <v>7980</v>
      </c>
      <c r="E77" s="84"/>
      <c r="F77" s="65">
        <f t="shared" si="6"/>
        <v>9.49021956087824</v>
      </c>
      <c r="G77" s="65">
        <f t="shared" si="7"/>
        <v>8.56766467065868</v>
      </c>
      <c r="H77" s="66" t="str">
        <f t="shared" si="8"/>
        <v/>
      </c>
      <c r="I77" s="65">
        <f t="shared" si="9"/>
        <v>1711.11111111111</v>
      </c>
      <c r="J77" s="65">
        <f t="shared" si="10"/>
        <v>1430.8</v>
      </c>
      <c r="K77" s="66" t="str">
        <f t="shared" si="11"/>
        <v/>
      </c>
      <c r="L77" s="67"/>
    </row>
    <row r="78" ht="23.1" customHeight="1" spans="1:12">
      <c r="A78" s="107"/>
      <c r="B78" s="62" t="s">
        <v>137</v>
      </c>
      <c r="C78" s="63">
        <v>250</v>
      </c>
      <c r="D78" s="72">
        <v>7980</v>
      </c>
      <c r="E78" s="84"/>
      <c r="F78" s="65">
        <f t="shared" ref="F78:F109" si="12">$J$12+(C78*$J$10/$L$10)</f>
        <v>9.89021956087824</v>
      </c>
      <c r="G78" s="65">
        <f t="shared" ref="G78:G109" si="13">IF(D78="","",($J$11-$H$7+D78)*$J$10/$H$12)</f>
        <v>8.56766467065868</v>
      </c>
      <c r="H78" s="66" t="str">
        <f t="shared" ref="H78:H109" si="14">IF(E78="","",($J$11-$H$7+E78)*$J$10/$H$12)</f>
        <v/>
      </c>
      <c r="I78" s="65">
        <f t="shared" ref="I78:I109" si="15">$F$12+(C78*$J$10/$L$12)</f>
        <v>1788.88888888889</v>
      </c>
      <c r="J78" s="65">
        <f t="shared" ref="J78:J109" si="16">IF(D78="","",($J$11-$H$7+D78)*$J$10/$B$12)</f>
        <v>1430.8</v>
      </c>
      <c r="K78" s="66" t="str">
        <f t="shared" ref="K78:K109" si="17">IF(E78="","",($J$11-$H$7+E78)*$J$10/$B$12)</f>
        <v/>
      </c>
      <c r="L78" s="67"/>
    </row>
    <row r="79" ht="23.1" customHeight="1" spans="1:12">
      <c r="A79" s="107"/>
      <c r="B79" s="62" t="s">
        <v>138</v>
      </c>
      <c r="C79" s="63">
        <v>250</v>
      </c>
      <c r="D79" s="72">
        <v>7980</v>
      </c>
      <c r="E79" s="84"/>
      <c r="F79" s="65">
        <f t="shared" si="12"/>
        <v>9.89021956087824</v>
      </c>
      <c r="G79" s="65">
        <f t="shared" si="13"/>
        <v>8.56766467065868</v>
      </c>
      <c r="H79" s="66" t="str">
        <f t="shared" si="14"/>
        <v/>
      </c>
      <c r="I79" s="65">
        <f t="shared" si="15"/>
        <v>1788.88888888889</v>
      </c>
      <c r="J79" s="65">
        <f t="shared" si="16"/>
        <v>1430.8</v>
      </c>
      <c r="K79" s="66" t="str">
        <f t="shared" si="17"/>
        <v/>
      </c>
      <c r="L79" s="67"/>
    </row>
    <row r="80" ht="23.1" customHeight="1" spans="1:12">
      <c r="A80" s="107"/>
      <c r="B80" s="62" t="s">
        <v>139</v>
      </c>
      <c r="C80" s="63">
        <v>270</v>
      </c>
      <c r="D80" s="72">
        <v>7980</v>
      </c>
      <c r="E80" s="84"/>
      <c r="F80" s="65">
        <f t="shared" si="12"/>
        <v>10.2902195608782</v>
      </c>
      <c r="G80" s="65">
        <f t="shared" si="13"/>
        <v>8.56766467065868</v>
      </c>
      <c r="H80" s="66" t="str">
        <f t="shared" si="14"/>
        <v/>
      </c>
      <c r="I80" s="65">
        <f t="shared" si="15"/>
        <v>1866.66666666667</v>
      </c>
      <c r="J80" s="65">
        <f t="shared" si="16"/>
        <v>1430.8</v>
      </c>
      <c r="K80" s="66" t="str">
        <f t="shared" si="17"/>
        <v/>
      </c>
      <c r="L80" s="67"/>
    </row>
    <row r="81" ht="23.1" customHeight="1" spans="1:12">
      <c r="A81" s="107"/>
      <c r="B81" s="62" t="s">
        <v>140</v>
      </c>
      <c r="C81" s="63">
        <v>250</v>
      </c>
      <c r="D81" s="72">
        <v>7980</v>
      </c>
      <c r="E81" s="84"/>
      <c r="F81" s="65">
        <f t="shared" si="12"/>
        <v>9.89021956087824</v>
      </c>
      <c r="G81" s="65">
        <f t="shared" si="13"/>
        <v>8.56766467065868</v>
      </c>
      <c r="H81" s="66" t="str">
        <f t="shared" si="14"/>
        <v/>
      </c>
      <c r="I81" s="65">
        <f t="shared" si="15"/>
        <v>1788.88888888889</v>
      </c>
      <c r="J81" s="65">
        <f t="shared" si="16"/>
        <v>1430.8</v>
      </c>
      <c r="K81" s="66" t="str">
        <f t="shared" si="17"/>
        <v/>
      </c>
      <c r="L81" s="67"/>
    </row>
    <row r="82" ht="23.1" customHeight="1" spans="1:12">
      <c r="A82" s="107"/>
      <c r="B82" s="62" t="s">
        <v>141</v>
      </c>
      <c r="C82" s="63">
        <v>250</v>
      </c>
      <c r="D82" s="72">
        <v>7980</v>
      </c>
      <c r="E82" s="84"/>
      <c r="F82" s="65">
        <f t="shared" si="12"/>
        <v>9.89021956087824</v>
      </c>
      <c r="G82" s="65">
        <f t="shared" si="13"/>
        <v>8.56766467065868</v>
      </c>
      <c r="H82" s="66" t="str">
        <f t="shared" si="14"/>
        <v/>
      </c>
      <c r="I82" s="65">
        <f t="shared" si="15"/>
        <v>1788.88888888889</v>
      </c>
      <c r="J82" s="65">
        <f t="shared" si="16"/>
        <v>1430.8</v>
      </c>
      <c r="K82" s="66" t="str">
        <f t="shared" si="17"/>
        <v/>
      </c>
      <c r="L82" s="67"/>
    </row>
    <row r="83" ht="23.1" customHeight="1" spans="1:12">
      <c r="A83" s="107"/>
      <c r="B83" s="62" t="s">
        <v>142</v>
      </c>
      <c r="C83" s="63">
        <v>295</v>
      </c>
      <c r="D83" s="72">
        <v>7980</v>
      </c>
      <c r="E83" s="84"/>
      <c r="F83" s="65">
        <f t="shared" si="12"/>
        <v>10.7902195608782</v>
      </c>
      <c r="G83" s="65">
        <f t="shared" si="13"/>
        <v>8.56766467065868</v>
      </c>
      <c r="H83" s="66" t="str">
        <f t="shared" si="14"/>
        <v/>
      </c>
      <c r="I83" s="65">
        <f t="shared" si="15"/>
        <v>1963.88888888889</v>
      </c>
      <c r="J83" s="65">
        <f t="shared" si="16"/>
        <v>1430.8</v>
      </c>
      <c r="K83" s="66" t="str">
        <f t="shared" si="17"/>
        <v/>
      </c>
      <c r="L83" s="67"/>
    </row>
    <row r="84" ht="23.1" customHeight="1" spans="1:12">
      <c r="A84" s="107"/>
      <c r="B84" s="62" t="s">
        <v>143</v>
      </c>
      <c r="C84" s="63">
        <v>295</v>
      </c>
      <c r="D84" s="72">
        <v>7980</v>
      </c>
      <c r="E84" s="84"/>
      <c r="F84" s="65">
        <f t="shared" si="12"/>
        <v>10.7902195608782</v>
      </c>
      <c r="G84" s="65">
        <f t="shared" si="13"/>
        <v>8.56766467065868</v>
      </c>
      <c r="H84" s="66" t="str">
        <f t="shared" si="14"/>
        <v/>
      </c>
      <c r="I84" s="65">
        <f t="shared" si="15"/>
        <v>1963.88888888889</v>
      </c>
      <c r="J84" s="65">
        <f t="shared" si="16"/>
        <v>1430.8</v>
      </c>
      <c r="K84" s="66" t="str">
        <f t="shared" si="17"/>
        <v/>
      </c>
      <c r="L84" s="67"/>
    </row>
    <row r="85" ht="23.1" customHeight="1" spans="1:12">
      <c r="A85" s="107"/>
      <c r="B85" s="62" t="s">
        <v>144</v>
      </c>
      <c r="C85" s="63">
        <v>280</v>
      </c>
      <c r="D85" s="72">
        <v>7980</v>
      </c>
      <c r="E85" s="84"/>
      <c r="F85" s="65">
        <f t="shared" si="12"/>
        <v>10.4902195608782</v>
      </c>
      <c r="G85" s="65">
        <f t="shared" si="13"/>
        <v>8.56766467065868</v>
      </c>
      <c r="H85" s="66" t="str">
        <f t="shared" si="14"/>
        <v/>
      </c>
      <c r="I85" s="65">
        <f t="shared" si="15"/>
        <v>1905.55555555556</v>
      </c>
      <c r="J85" s="65">
        <f t="shared" si="16"/>
        <v>1430.8</v>
      </c>
      <c r="K85" s="66" t="str">
        <f t="shared" si="17"/>
        <v/>
      </c>
      <c r="L85" s="67">
        <v>9.6</v>
      </c>
    </row>
    <row r="86" ht="23.1" customHeight="1" spans="1:12">
      <c r="A86" s="108" t="s">
        <v>145</v>
      </c>
      <c r="B86" s="62" t="s">
        <v>146</v>
      </c>
      <c r="C86" s="63">
        <v>290</v>
      </c>
      <c r="D86" s="72">
        <v>8680</v>
      </c>
      <c r="E86" s="84"/>
      <c r="F86" s="65">
        <f t="shared" si="12"/>
        <v>10.6902195608782</v>
      </c>
      <c r="G86" s="65">
        <f t="shared" si="13"/>
        <v>8.95888223552894</v>
      </c>
      <c r="H86" s="66" t="str">
        <f t="shared" si="14"/>
        <v/>
      </c>
      <c r="I86" s="65">
        <f t="shared" si="15"/>
        <v>1944.44444444444</v>
      </c>
      <c r="J86" s="65">
        <f t="shared" si="16"/>
        <v>1496.13333333333</v>
      </c>
      <c r="K86" s="66" t="str">
        <f t="shared" si="17"/>
        <v/>
      </c>
      <c r="L86" s="67">
        <v>10.1</v>
      </c>
    </row>
    <row r="87" ht="23.1" customHeight="1" spans="1:12">
      <c r="A87" s="108"/>
      <c r="B87" s="62" t="s">
        <v>147</v>
      </c>
      <c r="C87" s="63">
        <v>290</v>
      </c>
      <c r="D87" s="72">
        <v>8680</v>
      </c>
      <c r="E87" s="84"/>
      <c r="F87" s="65">
        <f t="shared" si="12"/>
        <v>10.6902195608782</v>
      </c>
      <c r="G87" s="65">
        <f t="shared" si="13"/>
        <v>8.95888223552894</v>
      </c>
      <c r="H87" s="66" t="str">
        <f t="shared" si="14"/>
        <v/>
      </c>
      <c r="I87" s="65">
        <f t="shared" si="15"/>
        <v>1944.44444444444</v>
      </c>
      <c r="J87" s="65">
        <f t="shared" si="16"/>
        <v>1496.13333333333</v>
      </c>
      <c r="K87" s="66" t="str">
        <f t="shared" si="17"/>
        <v/>
      </c>
      <c r="L87" s="67"/>
    </row>
    <row r="88" ht="23.1" customHeight="1" spans="1:12">
      <c r="A88" s="108"/>
      <c r="B88" s="62" t="s">
        <v>148</v>
      </c>
      <c r="C88" s="63">
        <v>285</v>
      </c>
      <c r="D88" s="72">
        <v>8680</v>
      </c>
      <c r="E88" s="84"/>
      <c r="F88" s="65">
        <f t="shared" si="12"/>
        <v>10.5902195608782</v>
      </c>
      <c r="G88" s="65">
        <f t="shared" si="13"/>
        <v>8.95888223552894</v>
      </c>
      <c r="H88" s="66" t="str">
        <f t="shared" si="14"/>
        <v/>
      </c>
      <c r="I88" s="65">
        <f t="shared" si="15"/>
        <v>1925</v>
      </c>
      <c r="J88" s="65">
        <f t="shared" si="16"/>
        <v>1496.13333333333</v>
      </c>
      <c r="K88" s="66" t="str">
        <f t="shared" si="17"/>
        <v/>
      </c>
      <c r="L88" s="67">
        <v>10.1</v>
      </c>
    </row>
    <row r="89" ht="23.1" customHeight="1" spans="1:12">
      <c r="A89" s="108"/>
      <c r="B89" s="62" t="s">
        <v>149</v>
      </c>
      <c r="C89" s="63">
        <v>285</v>
      </c>
      <c r="D89" s="72">
        <v>8680</v>
      </c>
      <c r="E89" s="84"/>
      <c r="F89" s="65">
        <f t="shared" si="12"/>
        <v>10.5902195608782</v>
      </c>
      <c r="G89" s="65">
        <f t="shared" si="13"/>
        <v>8.95888223552894</v>
      </c>
      <c r="H89" s="66" t="str">
        <f t="shared" si="14"/>
        <v/>
      </c>
      <c r="I89" s="65">
        <f t="shared" si="15"/>
        <v>1925</v>
      </c>
      <c r="J89" s="65">
        <f t="shared" si="16"/>
        <v>1496.13333333333</v>
      </c>
      <c r="K89" s="66" t="str">
        <f t="shared" si="17"/>
        <v/>
      </c>
      <c r="L89" s="67"/>
    </row>
    <row r="90" ht="23.1" customHeight="1" spans="1:12">
      <c r="A90" s="108"/>
      <c r="B90" s="62" t="s">
        <v>150</v>
      </c>
      <c r="C90" s="63">
        <v>290</v>
      </c>
      <c r="D90" s="72">
        <v>8680</v>
      </c>
      <c r="E90" s="84"/>
      <c r="F90" s="65">
        <f t="shared" si="12"/>
        <v>10.6902195608782</v>
      </c>
      <c r="G90" s="65">
        <f t="shared" si="13"/>
        <v>8.95888223552894</v>
      </c>
      <c r="H90" s="66" t="str">
        <f t="shared" si="14"/>
        <v/>
      </c>
      <c r="I90" s="65">
        <f t="shared" si="15"/>
        <v>1944.44444444444</v>
      </c>
      <c r="J90" s="65">
        <f t="shared" si="16"/>
        <v>1496.13333333333</v>
      </c>
      <c r="K90" s="66" t="str">
        <f t="shared" si="17"/>
        <v/>
      </c>
      <c r="L90" s="67">
        <v>10.1</v>
      </c>
    </row>
    <row r="91" ht="23.1" customHeight="1" spans="1:12">
      <c r="A91" s="108"/>
      <c r="B91" s="62" t="s">
        <v>151</v>
      </c>
      <c r="C91" s="63">
        <v>290</v>
      </c>
      <c r="D91" s="72">
        <v>8680</v>
      </c>
      <c r="E91" s="84"/>
      <c r="F91" s="65">
        <f t="shared" si="12"/>
        <v>10.6902195608782</v>
      </c>
      <c r="G91" s="65">
        <f t="shared" si="13"/>
        <v>8.95888223552894</v>
      </c>
      <c r="H91" s="66" t="str">
        <f t="shared" si="14"/>
        <v/>
      </c>
      <c r="I91" s="65">
        <f t="shared" si="15"/>
        <v>1944.44444444444</v>
      </c>
      <c r="J91" s="65">
        <f t="shared" si="16"/>
        <v>1496.13333333333</v>
      </c>
      <c r="K91" s="66" t="str">
        <f t="shared" si="17"/>
        <v/>
      </c>
      <c r="L91" s="67"/>
    </row>
    <row r="92" ht="23.1" customHeight="1" spans="1:12">
      <c r="A92" s="108"/>
      <c r="B92" s="62" t="s">
        <v>152</v>
      </c>
      <c r="C92" s="63">
        <v>295</v>
      </c>
      <c r="D92" s="72">
        <v>8680</v>
      </c>
      <c r="E92" s="84"/>
      <c r="F92" s="65">
        <f t="shared" si="12"/>
        <v>10.7902195608782</v>
      </c>
      <c r="G92" s="65">
        <f t="shared" si="13"/>
        <v>8.95888223552894</v>
      </c>
      <c r="H92" s="66" t="str">
        <f t="shared" si="14"/>
        <v/>
      </c>
      <c r="I92" s="65">
        <f t="shared" si="15"/>
        <v>1963.88888888889</v>
      </c>
      <c r="J92" s="65">
        <f t="shared" si="16"/>
        <v>1496.13333333333</v>
      </c>
      <c r="K92" s="66" t="str">
        <f t="shared" si="17"/>
        <v/>
      </c>
      <c r="L92" s="67"/>
    </row>
    <row r="93" ht="23.1" customHeight="1" spans="1:12">
      <c r="A93" s="108"/>
      <c r="B93" s="62" t="s">
        <v>153</v>
      </c>
      <c r="C93" s="63">
        <v>295</v>
      </c>
      <c r="D93" s="72">
        <v>8680</v>
      </c>
      <c r="E93" s="84"/>
      <c r="F93" s="65">
        <f t="shared" si="12"/>
        <v>10.7902195608782</v>
      </c>
      <c r="G93" s="65">
        <f t="shared" si="13"/>
        <v>8.95888223552894</v>
      </c>
      <c r="H93" s="66" t="str">
        <f t="shared" si="14"/>
        <v/>
      </c>
      <c r="I93" s="65">
        <f t="shared" si="15"/>
        <v>1963.88888888889</v>
      </c>
      <c r="J93" s="65">
        <f t="shared" si="16"/>
        <v>1496.13333333333</v>
      </c>
      <c r="K93" s="66" t="str">
        <f t="shared" si="17"/>
        <v/>
      </c>
      <c r="L93" s="67">
        <v>10.1</v>
      </c>
    </row>
    <row r="94" ht="23.1" customHeight="1" spans="1:12">
      <c r="A94" s="108"/>
      <c r="B94" s="62" t="s">
        <v>154</v>
      </c>
      <c r="C94" s="63">
        <v>300</v>
      </c>
      <c r="D94" s="72">
        <v>8680</v>
      </c>
      <c r="E94" s="84"/>
      <c r="F94" s="65">
        <f t="shared" si="12"/>
        <v>10.8902195608782</v>
      </c>
      <c r="G94" s="65">
        <f t="shared" si="13"/>
        <v>8.95888223552894</v>
      </c>
      <c r="H94" s="66" t="str">
        <f t="shared" si="14"/>
        <v/>
      </c>
      <c r="I94" s="65">
        <f t="shared" si="15"/>
        <v>1983.33333333333</v>
      </c>
      <c r="J94" s="65">
        <f t="shared" si="16"/>
        <v>1496.13333333333</v>
      </c>
      <c r="K94" s="66" t="str">
        <f t="shared" si="17"/>
        <v/>
      </c>
      <c r="L94" s="67"/>
    </row>
    <row r="95" ht="23.1" customHeight="1" spans="1:12">
      <c r="A95" s="108"/>
      <c r="B95" s="62" t="s">
        <v>155</v>
      </c>
      <c r="C95" s="63">
        <v>290</v>
      </c>
      <c r="D95" s="72">
        <v>8680</v>
      </c>
      <c r="E95" s="84"/>
      <c r="F95" s="65">
        <f t="shared" si="12"/>
        <v>10.6902195608782</v>
      </c>
      <c r="G95" s="65">
        <f t="shared" si="13"/>
        <v>8.95888223552894</v>
      </c>
      <c r="H95" s="66" t="str">
        <f t="shared" si="14"/>
        <v/>
      </c>
      <c r="I95" s="65">
        <f t="shared" si="15"/>
        <v>1944.44444444444</v>
      </c>
      <c r="J95" s="65">
        <f t="shared" si="16"/>
        <v>1496.13333333333</v>
      </c>
      <c r="K95" s="66" t="str">
        <f t="shared" si="17"/>
        <v/>
      </c>
      <c r="L95" s="67"/>
    </row>
    <row r="96" ht="23.1" customHeight="1" spans="1:12">
      <c r="A96" s="108"/>
      <c r="B96" s="62" t="s">
        <v>156</v>
      </c>
      <c r="C96" s="63">
        <v>275</v>
      </c>
      <c r="D96" s="72">
        <v>8680</v>
      </c>
      <c r="E96" s="84"/>
      <c r="F96" s="65">
        <f t="shared" si="12"/>
        <v>10.3902195608782</v>
      </c>
      <c r="G96" s="65">
        <f t="shared" si="13"/>
        <v>8.95888223552894</v>
      </c>
      <c r="H96" s="66" t="str">
        <f t="shared" si="14"/>
        <v/>
      </c>
      <c r="I96" s="65">
        <f t="shared" si="15"/>
        <v>1886.11111111111</v>
      </c>
      <c r="J96" s="65">
        <f t="shared" si="16"/>
        <v>1496.13333333333</v>
      </c>
      <c r="K96" s="66" t="str">
        <f t="shared" si="17"/>
        <v/>
      </c>
      <c r="L96" s="67">
        <v>10.1</v>
      </c>
    </row>
    <row r="97" ht="23.1" customHeight="1" spans="1:12">
      <c r="A97" s="108"/>
      <c r="B97" s="62" t="s">
        <v>157</v>
      </c>
      <c r="C97" s="63">
        <v>295</v>
      </c>
      <c r="D97" s="72">
        <v>8680</v>
      </c>
      <c r="E97" s="84"/>
      <c r="F97" s="65">
        <f t="shared" si="12"/>
        <v>10.7902195608782</v>
      </c>
      <c r="G97" s="65">
        <f t="shared" si="13"/>
        <v>8.95888223552894</v>
      </c>
      <c r="H97" s="66" t="str">
        <f t="shared" si="14"/>
        <v/>
      </c>
      <c r="I97" s="65">
        <f t="shared" si="15"/>
        <v>1963.88888888889</v>
      </c>
      <c r="J97" s="65">
        <f t="shared" si="16"/>
        <v>1496.13333333333</v>
      </c>
      <c r="K97" s="66" t="str">
        <f t="shared" si="17"/>
        <v/>
      </c>
      <c r="L97" s="67">
        <v>10.1</v>
      </c>
    </row>
    <row r="98" ht="23.1" customHeight="1" spans="1:12">
      <c r="A98" s="108"/>
      <c r="B98" s="62" t="s">
        <v>158</v>
      </c>
      <c r="C98" s="63">
        <v>290</v>
      </c>
      <c r="D98" s="72">
        <v>8680</v>
      </c>
      <c r="E98" s="84"/>
      <c r="F98" s="65">
        <f t="shared" si="12"/>
        <v>10.6902195608782</v>
      </c>
      <c r="G98" s="65">
        <f t="shared" si="13"/>
        <v>8.95888223552894</v>
      </c>
      <c r="H98" s="66" t="str">
        <f t="shared" si="14"/>
        <v/>
      </c>
      <c r="I98" s="65">
        <f t="shared" si="15"/>
        <v>1944.44444444444</v>
      </c>
      <c r="J98" s="65">
        <f t="shared" si="16"/>
        <v>1496.13333333333</v>
      </c>
      <c r="K98" s="66" t="str">
        <f t="shared" si="17"/>
        <v/>
      </c>
      <c r="L98" s="67">
        <v>10.1</v>
      </c>
    </row>
    <row r="99" ht="23.1" customHeight="1" spans="1:12">
      <c r="A99" s="108"/>
      <c r="B99" s="62" t="s">
        <v>159</v>
      </c>
      <c r="C99" s="63">
        <v>290</v>
      </c>
      <c r="D99" s="72">
        <v>8680</v>
      </c>
      <c r="E99" s="84"/>
      <c r="F99" s="65">
        <f t="shared" si="12"/>
        <v>10.6902195608782</v>
      </c>
      <c r="G99" s="65">
        <f t="shared" si="13"/>
        <v>8.95888223552894</v>
      </c>
      <c r="H99" s="66" t="str">
        <f t="shared" si="14"/>
        <v/>
      </c>
      <c r="I99" s="65">
        <f t="shared" si="15"/>
        <v>1944.44444444444</v>
      </c>
      <c r="J99" s="65">
        <f t="shared" si="16"/>
        <v>1496.13333333333</v>
      </c>
      <c r="K99" s="66" t="str">
        <f t="shared" si="17"/>
        <v/>
      </c>
      <c r="L99" s="67"/>
    </row>
    <row r="100" ht="23.1" customHeight="1" spans="1:12">
      <c r="A100" s="108"/>
      <c r="B100" s="62" t="s">
        <v>160</v>
      </c>
      <c r="C100" s="63">
        <v>290</v>
      </c>
      <c r="D100" s="72">
        <v>8680</v>
      </c>
      <c r="E100" s="84"/>
      <c r="F100" s="65">
        <f t="shared" si="12"/>
        <v>10.6902195608782</v>
      </c>
      <c r="G100" s="65">
        <f t="shared" si="13"/>
        <v>8.95888223552894</v>
      </c>
      <c r="H100" s="66" t="str">
        <f t="shared" si="14"/>
        <v/>
      </c>
      <c r="I100" s="65">
        <f t="shared" si="15"/>
        <v>1944.44444444444</v>
      </c>
      <c r="J100" s="65">
        <f t="shared" si="16"/>
        <v>1496.13333333333</v>
      </c>
      <c r="K100" s="66" t="str">
        <f t="shared" si="17"/>
        <v/>
      </c>
      <c r="L100" s="67"/>
    </row>
    <row r="101" ht="23.1" customHeight="1" spans="1:12">
      <c r="A101" s="108"/>
      <c r="B101" s="62" t="s">
        <v>161</v>
      </c>
      <c r="C101" s="63">
        <v>290</v>
      </c>
      <c r="D101" s="72">
        <v>8680</v>
      </c>
      <c r="E101" s="84"/>
      <c r="F101" s="65">
        <f t="shared" si="12"/>
        <v>10.6902195608782</v>
      </c>
      <c r="G101" s="65">
        <f t="shared" si="13"/>
        <v>8.95888223552894</v>
      </c>
      <c r="H101" s="66" t="str">
        <f t="shared" si="14"/>
        <v/>
      </c>
      <c r="I101" s="65">
        <f t="shared" si="15"/>
        <v>1944.44444444444</v>
      </c>
      <c r="J101" s="65">
        <f t="shared" si="16"/>
        <v>1496.13333333333</v>
      </c>
      <c r="K101" s="66" t="str">
        <f t="shared" si="17"/>
        <v/>
      </c>
      <c r="L101" s="67"/>
    </row>
    <row r="102" ht="23.1" customHeight="1" spans="1:12">
      <c r="A102" s="108"/>
      <c r="B102" s="62" t="s">
        <v>162</v>
      </c>
      <c r="C102" s="63">
        <v>290</v>
      </c>
      <c r="D102" s="72">
        <v>8680</v>
      </c>
      <c r="E102" s="84"/>
      <c r="F102" s="65">
        <f t="shared" si="12"/>
        <v>10.6902195608782</v>
      </c>
      <c r="G102" s="65">
        <f t="shared" si="13"/>
        <v>8.95888223552894</v>
      </c>
      <c r="H102" s="66" t="str">
        <f t="shared" si="14"/>
        <v/>
      </c>
      <c r="I102" s="65">
        <f t="shared" si="15"/>
        <v>1944.44444444444</v>
      </c>
      <c r="J102" s="65">
        <f t="shared" si="16"/>
        <v>1496.13333333333</v>
      </c>
      <c r="K102" s="66" t="str">
        <f t="shared" si="17"/>
        <v/>
      </c>
      <c r="L102" s="67"/>
    </row>
    <row r="103" ht="23.1" customHeight="1" spans="1:12">
      <c r="A103" s="108"/>
      <c r="B103" s="62" t="s">
        <v>163</v>
      </c>
      <c r="C103" s="63">
        <v>320</v>
      </c>
      <c r="D103" s="72">
        <v>8680</v>
      </c>
      <c r="E103" s="84"/>
      <c r="F103" s="65">
        <f t="shared" si="12"/>
        <v>11.2902195608782</v>
      </c>
      <c r="G103" s="65">
        <f t="shared" si="13"/>
        <v>8.95888223552894</v>
      </c>
      <c r="H103" s="66" t="str">
        <f t="shared" si="14"/>
        <v/>
      </c>
      <c r="I103" s="65">
        <f t="shared" si="15"/>
        <v>2061.11111111111</v>
      </c>
      <c r="J103" s="65">
        <f t="shared" si="16"/>
        <v>1496.13333333333</v>
      </c>
      <c r="K103" s="66" t="str">
        <f t="shared" si="17"/>
        <v/>
      </c>
      <c r="L103" s="67"/>
    </row>
    <row r="104" ht="23.1" customHeight="1" spans="1:12">
      <c r="A104" s="108"/>
      <c r="B104" s="62" t="s">
        <v>164</v>
      </c>
      <c r="C104" s="63">
        <v>290</v>
      </c>
      <c r="D104" s="72">
        <v>8680</v>
      </c>
      <c r="E104" s="84"/>
      <c r="F104" s="65">
        <f t="shared" si="12"/>
        <v>10.6902195608782</v>
      </c>
      <c r="G104" s="65">
        <f t="shared" si="13"/>
        <v>8.95888223552894</v>
      </c>
      <c r="H104" s="66" t="str">
        <f t="shared" si="14"/>
        <v/>
      </c>
      <c r="I104" s="65">
        <f t="shared" si="15"/>
        <v>1944.44444444444</v>
      </c>
      <c r="J104" s="65">
        <f t="shared" si="16"/>
        <v>1496.13333333333</v>
      </c>
      <c r="K104" s="66" t="str">
        <f t="shared" si="17"/>
        <v/>
      </c>
      <c r="L104" s="67"/>
    </row>
    <row r="105" ht="23.1" customHeight="1" spans="1:12">
      <c r="A105" s="108"/>
      <c r="B105" s="62" t="s">
        <v>165</v>
      </c>
      <c r="C105" s="63">
        <v>350</v>
      </c>
      <c r="D105" s="72">
        <v>8680</v>
      </c>
      <c r="E105" s="84"/>
      <c r="F105" s="65">
        <f t="shared" si="12"/>
        <v>11.8902195608782</v>
      </c>
      <c r="G105" s="65">
        <f t="shared" si="13"/>
        <v>8.95888223552894</v>
      </c>
      <c r="H105" s="66" t="str">
        <f t="shared" si="14"/>
        <v/>
      </c>
      <c r="I105" s="65">
        <f t="shared" si="15"/>
        <v>2177.77777777778</v>
      </c>
      <c r="J105" s="65">
        <f t="shared" si="16"/>
        <v>1496.13333333333</v>
      </c>
      <c r="K105" s="66" t="str">
        <f t="shared" si="17"/>
        <v/>
      </c>
      <c r="L105" s="67"/>
    </row>
    <row r="106" ht="23.1" customHeight="1" spans="1:12">
      <c r="A106" s="108"/>
      <c r="B106" s="62" t="s">
        <v>166</v>
      </c>
      <c r="C106" s="63">
        <v>350</v>
      </c>
      <c r="D106" s="72">
        <v>8680</v>
      </c>
      <c r="E106" s="84"/>
      <c r="F106" s="65">
        <f t="shared" si="12"/>
        <v>11.8902195608782</v>
      </c>
      <c r="G106" s="65">
        <f t="shared" si="13"/>
        <v>8.95888223552894</v>
      </c>
      <c r="H106" s="66" t="str">
        <f t="shared" si="14"/>
        <v/>
      </c>
      <c r="I106" s="65">
        <f t="shared" si="15"/>
        <v>2177.77777777778</v>
      </c>
      <c r="J106" s="65">
        <f t="shared" si="16"/>
        <v>1496.13333333333</v>
      </c>
      <c r="K106" s="66" t="str">
        <f t="shared" si="17"/>
        <v/>
      </c>
      <c r="L106" s="67">
        <v>10.1</v>
      </c>
    </row>
    <row r="107" ht="23.1" customHeight="1" spans="1:12">
      <c r="A107" s="108"/>
      <c r="B107" s="62" t="s">
        <v>167</v>
      </c>
      <c r="C107" s="63"/>
      <c r="D107" s="72">
        <v>8680</v>
      </c>
      <c r="E107" s="84"/>
      <c r="F107" s="65">
        <f t="shared" si="12"/>
        <v>4.89021956087824</v>
      </c>
      <c r="G107" s="65">
        <f t="shared" si="13"/>
        <v>8.95888223552894</v>
      </c>
      <c r="H107" s="66" t="str">
        <f t="shared" si="14"/>
        <v/>
      </c>
      <c r="I107" s="65">
        <f t="shared" si="15"/>
        <v>816.666666666667</v>
      </c>
      <c r="J107" s="65">
        <f t="shared" si="16"/>
        <v>1496.13333333333</v>
      </c>
      <c r="K107" s="66" t="str">
        <f t="shared" si="17"/>
        <v/>
      </c>
      <c r="L107" s="67"/>
    </row>
    <row r="108" ht="23.1" customHeight="1" spans="1:12">
      <c r="A108" s="108"/>
      <c r="B108" s="62" t="s">
        <v>168</v>
      </c>
      <c r="C108" s="63"/>
      <c r="D108" s="72">
        <v>8680</v>
      </c>
      <c r="E108" s="84"/>
      <c r="F108" s="65">
        <f t="shared" si="12"/>
        <v>4.89021956087824</v>
      </c>
      <c r="G108" s="65">
        <f t="shared" si="13"/>
        <v>8.95888223552894</v>
      </c>
      <c r="H108" s="66" t="str">
        <f t="shared" si="14"/>
        <v/>
      </c>
      <c r="I108" s="65">
        <f t="shared" si="15"/>
        <v>816.666666666667</v>
      </c>
      <c r="J108" s="65">
        <f t="shared" si="16"/>
        <v>1496.13333333333</v>
      </c>
      <c r="K108" s="66" t="str">
        <f t="shared" si="17"/>
        <v/>
      </c>
      <c r="L108" s="67"/>
    </row>
    <row r="109" ht="23.1" customHeight="1" spans="1:12">
      <c r="A109" s="109" t="s">
        <v>169</v>
      </c>
      <c r="B109" s="80" t="s">
        <v>170</v>
      </c>
      <c r="C109" s="63">
        <v>60</v>
      </c>
      <c r="D109" s="72"/>
      <c r="E109" s="84"/>
      <c r="F109" s="65">
        <f t="shared" si="12"/>
        <v>6.09021956087824</v>
      </c>
      <c r="G109" s="65" t="str">
        <f t="shared" si="13"/>
        <v/>
      </c>
      <c r="H109" s="66" t="str">
        <f t="shared" si="14"/>
        <v/>
      </c>
      <c r="I109" s="65">
        <f t="shared" si="15"/>
        <v>1050</v>
      </c>
      <c r="J109" s="65" t="str">
        <f t="shared" si="16"/>
        <v/>
      </c>
      <c r="K109" s="66" t="str">
        <f t="shared" si="17"/>
        <v/>
      </c>
      <c r="L109" s="67"/>
    </row>
    <row r="110" ht="23.1" customHeight="1" spans="1:12">
      <c r="A110" s="109"/>
      <c r="B110" s="80" t="s">
        <v>171</v>
      </c>
      <c r="C110" s="63">
        <v>60</v>
      </c>
      <c r="D110" s="72"/>
      <c r="E110" s="84"/>
      <c r="F110" s="65">
        <f t="shared" ref="F110:F141" si="18">$J$12+(C110*$J$10/$L$10)</f>
        <v>6.09021956087824</v>
      </c>
      <c r="G110" s="65" t="str">
        <f t="shared" ref="G110:G141" si="19">IF(D110="","",($J$11-$H$7+D110)*$J$10/$H$12)</f>
        <v/>
      </c>
      <c r="H110" s="66" t="str">
        <f t="shared" ref="H110:H141" si="20">IF(E110="","",($J$11-$H$7+E110)*$J$10/$H$12)</f>
        <v/>
      </c>
      <c r="I110" s="65">
        <f t="shared" ref="I110:I141" si="21">$F$12+(C110*$J$10/$L$12)</f>
        <v>1050</v>
      </c>
      <c r="J110" s="65"/>
      <c r="K110" s="66"/>
      <c r="L110" s="67">
        <v>7.2</v>
      </c>
    </row>
    <row r="111" ht="23.1" customHeight="1" spans="1:12">
      <c r="A111" s="109"/>
      <c r="B111" s="80" t="s">
        <v>172</v>
      </c>
      <c r="C111" s="63">
        <v>55</v>
      </c>
      <c r="D111" s="72"/>
      <c r="E111" s="84"/>
      <c r="F111" s="65">
        <f t="shared" si="18"/>
        <v>5.99021956087824</v>
      </c>
      <c r="G111" s="65" t="str">
        <f t="shared" si="19"/>
        <v/>
      </c>
      <c r="H111" s="66" t="str">
        <f t="shared" si="20"/>
        <v/>
      </c>
      <c r="I111" s="65">
        <f t="shared" si="21"/>
        <v>1030.55555555556</v>
      </c>
      <c r="J111" s="65" t="str">
        <f t="shared" ref="J111:K116" si="22">IF(D111="","",($J$11-$H$7+D111)*$J$10/$B$12)</f>
        <v/>
      </c>
      <c r="K111" s="66" t="str">
        <f t="shared" si="22"/>
        <v/>
      </c>
      <c r="L111" s="67">
        <v>7.2</v>
      </c>
    </row>
    <row r="112" ht="23.1" customHeight="1" spans="1:12">
      <c r="A112" s="109"/>
      <c r="B112" s="80" t="s">
        <v>173</v>
      </c>
      <c r="C112" s="63">
        <v>190</v>
      </c>
      <c r="D112" s="72"/>
      <c r="E112" s="84"/>
      <c r="F112" s="65">
        <f t="shared" si="18"/>
        <v>8.69021956087824</v>
      </c>
      <c r="G112" s="65" t="str">
        <f t="shared" si="19"/>
        <v/>
      </c>
      <c r="H112" s="66" t="str">
        <f t="shared" si="20"/>
        <v/>
      </c>
      <c r="I112" s="65">
        <f t="shared" si="21"/>
        <v>1555.55555555556</v>
      </c>
      <c r="J112" s="65" t="str">
        <f t="shared" si="22"/>
        <v/>
      </c>
      <c r="K112" s="66" t="str">
        <f t="shared" si="22"/>
        <v/>
      </c>
      <c r="L112" s="67"/>
    </row>
    <row r="113" ht="23.1" customHeight="1" spans="1:12">
      <c r="A113" s="109"/>
      <c r="B113" s="80" t="s">
        <v>174</v>
      </c>
      <c r="C113" s="63">
        <v>180</v>
      </c>
      <c r="D113" s="72"/>
      <c r="E113" s="84"/>
      <c r="F113" s="65">
        <f t="shared" si="18"/>
        <v>8.49021956087824</v>
      </c>
      <c r="G113" s="65" t="str">
        <f t="shared" si="19"/>
        <v/>
      </c>
      <c r="H113" s="66" t="str">
        <f t="shared" si="20"/>
        <v/>
      </c>
      <c r="I113" s="65">
        <f t="shared" si="21"/>
        <v>1516.66666666667</v>
      </c>
      <c r="J113" s="65" t="str">
        <f t="shared" si="22"/>
        <v/>
      </c>
      <c r="K113" s="66" t="str">
        <f t="shared" si="22"/>
        <v/>
      </c>
      <c r="L113" s="67"/>
    </row>
    <row r="114" ht="23.1" customHeight="1" spans="1:12">
      <c r="A114" s="109"/>
      <c r="B114" s="80" t="s">
        <v>175</v>
      </c>
      <c r="C114" s="63">
        <v>160</v>
      </c>
      <c r="D114" s="72"/>
      <c r="E114" s="84"/>
      <c r="F114" s="65">
        <f t="shared" si="18"/>
        <v>8.09021956087824</v>
      </c>
      <c r="G114" s="65" t="str">
        <f t="shared" si="19"/>
        <v/>
      </c>
      <c r="H114" s="66" t="str">
        <f t="shared" si="20"/>
        <v/>
      </c>
      <c r="I114" s="65">
        <f t="shared" si="21"/>
        <v>1438.88888888889</v>
      </c>
      <c r="J114" s="65" t="str">
        <f t="shared" si="22"/>
        <v/>
      </c>
      <c r="K114" s="66" t="str">
        <f t="shared" si="22"/>
        <v/>
      </c>
      <c r="L114" s="67">
        <v>8.8</v>
      </c>
    </row>
    <row r="115" ht="23.1" customHeight="1" spans="1:12">
      <c r="A115" s="109"/>
      <c r="B115" s="80" t="s">
        <v>264</v>
      </c>
      <c r="C115" s="63">
        <v>235</v>
      </c>
      <c r="D115" s="72"/>
      <c r="E115" s="84"/>
      <c r="F115" s="65">
        <f t="shared" si="18"/>
        <v>9.59021956087824</v>
      </c>
      <c r="G115" s="65" t="str">
        <f t="shared" si="19"/>
        <v/>
      </c>
      <c r="H115" s="66" t="str">
        <f t="shared" si="20"/>
        <v/>
      </c>
      <c r="I115" s="65">
        <f t="shared" si="21"/>
        <v>1730.55555555556</v>
      </c>
      <c r="J115" s="65" t="str">
        <f t="shared" si="22"/>
        <v/>
      </c>
      <c r="K115" s="66" t="str">
        <f t="shared" si="22"/>
        <v/>
      </c>
      <c r="L115" s="67"/>
    </row>
    <row r="116" ht="23.1" customHeight="1" spans="1:12">
      <c r="A116" s="109"/>
      <c r="B116" s="80" t="s">
        <v>177</v>
      </c>
      <c r="C116" s="63">
        <v>215</v>
      </c>
      <c r="D116" s="72"/>
      <c r="E116" s="84"/>
      <c r="F116" s="65">
        <f t="shared" si="18"/>
        <v>9.19021956087824</v>
      </c>
      <c r="G116" s="65" t="str">
        <f t="shared" si="19"/>
        <v/>
      </c>
      <c r="H116" s="66" t="str">
        <f t="shared" si="20"/>
        <v/>
      </c>
      <c r="I116" s="65">
        <f t="shared" si="21"/>
        <v>1652.77777777778</v>
      </c>
      <c r="J116" s="65" t="str">
        <f t="shared" si="22"/>
        <v/>
      </c>
      <c r="K116" s="66" t="str">
        <f t="shared" si="22"/>
        <v/>
      </c>
      <c r="L116" s="67"/>
    </row>
    <row r="117" ht="23.1" customHeight="1" spans="1:12">
      <c r="A117" s="109"/>
      <c r="B117" s="80" t="s">
        <v>265</v>
      </c>
      <c r="C117" s="63">
        <v>185</v>
      </c>
      <c r="D117" s="72">
        <v>7000</v>
      </c>
      <c r="E117" s="84"/>
      <c r="F117" s="65">
        <f t="shared" si="18"/>
        <v>8.59021956087824</v>
      </c>
      <c r="G117" s="65">
        <f t="shared" si="19"/>
        <v>8.01996007984032</v>
      </c>
      <c r="H117" s="66" t="str">
        <f t="shared" si="20"/>
        <v/>
      </c>
      <c r="I117" s="65">
        <f t="shared" si="21"/>
        <v>1536.11111111111</v>
      </c>
      <c r="J117" s="65"/>
      <c r="K117" s="66"/>
      <c r="L117" s="67"/>
    </row>
    <row r="118" ht="23.1" customHeight="1" spans="1:12">
      <c r="A118" s="109"/>
      <c r="B118" s="80" t="s">
        <v>266</v>
      </c>
      <c r="C118" s="63">
        <v>280</v>
      </c>
      <c r="D118" s="72"/>
      <c r="E118" s="84"/>
      <c r="F118" s="65">
        <f t="shared" si="18"/>
        <v>10.4902195608782</v>
      </c>
      <c r="G118" s="65" t="str">
        <f t="shared" si="19"/>
        <v/>
      </c>
      <c r="H118" s="66" t="str">
        <f t="shared" si="20"/>
        <v/>
      </c>
      <c r="I118" s="65">
        <f t="shared" si="21"/>
        <v>1905.55555555556</v>
      </c>
      <c r="J118" s="65"/>
      <c r="K118" s="66"/>
      <c r="L118" s="67"/>
    </row>
    <row r="119" ht="23.1" customHeight="1" spans="1:12">
      <c r="A119" s="109"/>
      <c r="B119" s="80" t="s">
        <v>178</v>
      </c>
      <c r="C119" s="63">
        <v>230</v>
      </c>
      <c r="D119" s="72"/>
      <c r="E119" s="84"/>
      <c r="F119" s="65">
        <f t="shared" si="18"/>
        <v>9.49021956087824</v>
      </c>
      <c r="G119" s="65" t="str">
        <f t="shared" si="19"/>
        <v/>
      </c>
      <c r="H119" s="66" t="str">
        <f t="shared" si="20"/>
        <v/>
      </c>
      <c r="I119" s="65">
        <f t="shared" si="21"/>
        <v>1711.11111111111</v>
      </c>
      <c r="J119" s="65" t="str">
        <f t="shared" ref="J119:J150" si="23">IF(D119="","",($J$11-$H$7+D119)*$J$10/$B$12)</f>
        <v/>
      </c>
      <c r="K119" s="66" t="str">
        <f t="shared" ref="K119:K150" si="24">IF(E119="","",($J$11-$H$7+E119)*$J$10/$B$12)</f>
        <v/>
      </c>
      <c r="L119" s="67"/>
    </row>
    <row r="120" ht="23.1" customHeight="1" spans="1:12">
      <c r="A120" s="109"/>
      <c r="B120" s="80" t="s">
        <v>179</v>
      </c>
      <c r="C120" s="63">
        <v>240</v>
      </c>
      <c r="D120" s="72"/>
      <c r="E120" s="84"/>
      <c r="F120" s="65">
        <f t="shared" si="18"/>
        <v>9.69021956087824</v>
      </c>
      <c r="G120" s="65" t="str">
        <f t="shared" si="19"/>
        <v/>
      </c>
      <c r="H120" s="66" t="str">
        <f t="shared" si="20"/>
        <v/>
      </c>
      <c r="I120" s="65">
        <f t="shared" si="21"/>
        <v>1750</v>
      </c>
      <c r="J120" s="65" t="str">
        <f t="shared" si="23"/>
        <v/>
      </c>
      <c r="K120" s="66" t="str">
        <f t="shared" si="24"/>
        <v/>
      </c>
      <c r="L120" s="67"/>
    </row>
    <row r="121" ht="23.1" customHeight="1" spans="1:12">
      <c r="A121" s="109"/>
      <c r="B121" s="80" t="s">
        <v>146</v>
      </c>
      <c r="C121" s="63">
        <v>290</v>
      </c>
      <c r="D121" s="72"/>
      <c r="E121" s="84"/>
      <c r="F121" s="65">
        <f t="shared" si="18"/>
        <v>10.6902195608782</v>
      </c>
      <c r="G121" s="65" t="str">
        <f t="shared" si="19"/>
        <v/>
      </c>
      <c r="H121" s="66" t="str">
        <f t="shared" si="20"/>
        <v/>
      </c>
      <c r="I121" s="65">
        <f t="shared" si="21"/>
        <v>1944.44444444444</v>
      </c>
      <c r="J121" s="65" t="str">
        <f t="shared" si="23"/>
        <v/>
      </c>
      <c r="K121" s="66" t="str">
        <f t="shared" si="24"/>
        <v/>
      </c>
      <c r="L121" s="67">
        <v>10.1</v>
      </c>
    </row>
    <row r="122" ht="23.1" customHeight="1" spans="1:12">
      <c r="A122" s="109"/>
      <c r="B122" s="80" t="s">
        <v>180</v>
      </c>
      <c r="C122" s="63">
        <v>295</v>
      </c>
      <c r="D122" s="72"/>
      <c r="E122" s="84"/>
      <c r="F122" s="65">
        <f t="shared" si="18"/>
        <v>10.7902195608782</v>
      </c>
      <c r="G122" s="65" t="str">
        <f t="shared" si="19"/>
        <v/>
      </c>
      <c r="H122" s="66" t="str">
        <f t="shared" si="20"/>
        <v/>
      </c>
      <c r="I122" s="65">
        <f t="shared" si="21"/>
        <v>1963.88888888889</v>
      </c>
      <c r="J122" s="65" t="str">
        <f t="shared" si="23"/>
        <v/>
      </c>
      <c r="K122" s="66" t="str">
        <f t="shared" si="24"/>
        <v/>
      </c>
      <c r="L122" s="67"/>
    </row>
    <row r="123" ht="23.1" customHeight="1" spans="1:12">
      <c r="A123" s="109"/>
      <c r="B123" s="80" t="s">
        <v>181</v>
      </c>
      <c r="C123" s="63">
        <v>295</v>
      </c>
      <c r="D123" s="72"/>
      <c r="E123" s="84"/>
      <c r="F123" s="65">
        <f t="shared" si="18"/>
        <v>10.7902195608782</v>
      </c>
      <c r="G123" s="65" t="str">
        <f t="shared" si="19"/>
        <v/>
      </c>
      <c r="H123" s="66" t="str">
        <f t="shared" si="20"/>
        <v/>
      </c>
      <c r="I123" s="65">
        <f t="shared" si="21"/>
        <v>1963.88888888889</v>
      </c>
      <c r="J123" s="65" t="str">
        <f t="shared" si="23"/>
        <v/>
      </c>
      <c r="K123" s="66" t="str">
        <f t="shared" si="24"/>
        <v/>
      </c>
      <c r="L123" s="67"/>
    </row>
    <row r="124" ht="23.1" customHeight="1" spans="1:12">
      <c r="A124" s="109"/>
      <c r="B124" s="80" t="s">
        <v>182</v>
      </c>
      <c r="C124" s="63">
        <v>295</v>
      </c>
      <c r="D124" s="72"/>
      <c r="E124" s="84"/>
      <c r="F124" s="65">
        <f t="shared" si="18"/>
        <v>10.7902195608782</v>
      </c>
      <c r="G124" s="65" t="str">
        <f t="shared" si="19"/>
        <v/>
      </c>
      <c r="H124" s="66" t="str">
        <f t="shared" si="20"/>
        <v/>
      </c>
      <c r="I124" s="65">
        <f t="shared" si="21"/>
        <v>1963.88888888889</v>
      </c>
      <c r="J124" s="65" t="str">
        <f t="shared" si="23"/>
        <v/>
      </c>
      <c r="K124" s="66" t="str">
        <f t="shared" si="24"/>
        <v/>
      </c>
      <c r="L124" s="67"/>
    </row>
    <row r="125" ht="23.1" customHeight="1" spans="1:12">
      <c r="A125" s="109"/>
      <c r="B125" s="80" t="s">
        <v>183</v>
      </c>
      <c r="C125" s="63">
        <v>65</v>
      </c>
      <c r="D125" s="72"/>
      <c r="E125" s="84"/>
      <c r="F125" s="65">
        <f t="shared" si="18"/>
        <v>6.19021956087824</v>
      </c>
      <c r="G125" s="65" t="str">
        <f t="shared" si="19"/>
        <v/>
      </c>
      <c r="H125" s="66" t="str">
        <f t="shared" si="20"/>
        <v/>
      </c>
      <c r="I125" s="65">
        <f t="shared" si="21"/>
        <v>1069.44444444444</v>
      </c>
      <c r="J125" s="65" t="str">
        <f t="shared" si="23"/>
        <v/>
      </c>
      <c r="K125" s="66" t="str">
        <f t="shared" si="24"/>
        <v/>
      </c>
      <c r="L125" s="67"/>
    </row>
    <row r="126" ht="23.1" customHeight="1" spans="1:12">
      <c r="A126" s="109"/>
      <c r="B126" s="80" t="s">
        <v>184</v>
      </c>
      <c r="C126" s="63">
        <v>260</v>
      </c>
      <c r="D126" s="72"/>
      <c r="E126" s="84"/>
      <c r="F126" s="65">
        <f t="shared" si="18"/>
        <v>10.0902195608782</v>
      </c>
      <c r="G126" s="65" t="str">
        <f t="shared" si="19"/>
        <v/>
      </c>
      <c r="H126" s="66" t="str">
        <f t="shared" si="20"/>
        <v/>
      </c>
      <c r="I126" s="65">
        <f t="shared" si="21"/>
        <v>1827.77777777778</v>
      </c>
      <c r="J126" s="65" t="str">
        <f t="shared" si="23"/>
        <v/>
      </c>
      <c r="K126" s="66" t="str">
        <f t="shared" si="24"/>
        <v/>
      </c>
      <c r="L126" s="67"/>
    </row>
    <row r="127" ht="23.1" customHeight="1" spans="1:12">
      <c r="A127" s="109"/>
      <c r="B127" s="80" t="s">
        <v>185</v>
      </c>
      <c r="C127" s="63">
        <v>320</v>
      </c>
      <c r="D127" s="72"/>
      <c r="E127" s="84"/>
      <c r="F127" s="65">
        <f t="shared" si="18"/>
        <v>11.2902195608782</v>
      </c>
      <c r="G127" s="65" t="str">
        <f t="shared" si="19"/>
        <v/>
      </c>
      <c r="H127" s="66" t="str">
        <f t="shared" si="20"/>
        <v/>
      </c>
      <c r="I127" s="65">
        <f t="shared" si="21"/>
        <v>2061.11111111111</v>
      </c>
      <c r="J127" s="65" t="str">
        <f t="shared" si="23"/>
        <v/>
      </c>
      <c r="K127" s="66" t="str">
        <f t="shared" si="24"/>
        <v/>
      </c>
      <c r="L127" s="67"/>
    </row>
    <row r="128" ht="23.1" customHeight="1" spans="1:12">
      <c r="A128" s="109"/>
      <c r="B128" s="80" t="s">
        <v>186</v>
      </c>
      <c r="C128" s="63">
        <v>270</v>
      </c>
      <c r="D128" s="72"/>
      <c r="E128" s="84"/>
      <c r="F128" s="65">
        <f t="shared" si="18"/>
        <v>10.2902195608782</v>
      </c>
      <c r="G128" s="65" t="str">
        <f t="shared" si="19"/>
        <v/>
      </c>
      <c r="H128" s="66" t="str">
        <f t="shared" si="20"/>
        <v/>
      </c>
      <c r="I128" s="65">
        <f t="shared" si="21"/>
        <v>1866.66666666667</v>
      </c>
      <c r="J128" s="65" t="str">
        <f t="shared" si="23"/>
        <v/>
      </c>
      <c r="K128" s="66" t="str">
        <f t="shared" si="24"/>
        <v/>
      </c>
      <c r="L128" s="67"/>
    </row>
    <row r="129" ht="23.1" customHeight="1" spans="1:12">
      <c r="A129" s="109"/>
      <c r="B129" s="80" t="s">
        <v>187</v>
      </c>
      <c r="C129" s="63">
        <v>290</v>
      </c>
      <c r="D129" s="72"/>
      <c r="E129" s="84"/>
      <c r="F129" s="65">
        <f t="shared" si="18"/>
        <v>10.6902195608782</v>
      </c>
      <c r="G129" s="65" t="str">
        <f t="shared" si="19"/>
        <v/>
      </c>
      <c r="H129" s="66" t="str">
        <f t="shared" si="20"/>
        <v/>
      </c>
      <c r="I129" s="65">
        <f t="shared" si="21"/>
        <v>1944.44444444444</v>
      </c>
      <c r="J129" s="65" t="str">
        <f t="shared" si="23"/>
        <v/>
      </c>
      <c r="K129" s="66" t="str">
        <f t="shared" si="24"/>
        <v/>
      </c>
      <c r="L129" s="67"/>
    </row>
    <row r="130" ht="23.1" customHeight="1" spans="1:12">
      <c r="A130" s="109"/>
      <c r="B130" s="80" t="s">
        <v>188</v>
      </c>
      <c r="C130" s="63">
        <v>85</v>
      </c>
      <c r="D130" s="72"/>
      <c r="E130" s="84">
        <v>2430</v>
      </c>
      <c r="F130" s="65">
        <f t="shared" si="18"/>
        <v>6.59021956087824</v>
      </c>
      <c r="G130" s="65" t="str">
        <f t="shared" si="19"/>
        <v/>
      </c>
      <c r="H130" s="66">
        <f t="shared" si="20"/>
        <v>5.46586826347305</v>
      </c>
      <c r="I130" s="65">
        <f t="shared" si="21"/>
        <v>1147.22222222222</v>
      </c>
      <c r="J130" s="65" t="str">
        <f t="shared" si="23"/>
        <v/>
      </c>
      <c r="K130" s="66">
        <f t="shared" si="24"/>
        <v>912.8</v>
      </c>
      <c r="L130" s="67"/>
    </row>
    <row r="131" ht="23.1" customHeight="1" spans="1:12">
      <c r="A131" s="109"/>
      <c r="B131" s="80" t="s">
        <v>189</v>
      </c>
      <c r="C131" s="63">
        <v>50</v>
      </c>
      <c r="D131" s="72"/>
      <c r="E131" s="84">
        <v>1680</v>
      </c>
      <c r="F131" s="65">
        <f t="shared" si="18"/>
        <v>5.89021956087824</v>
      </c>
      <c r="G131" s="65" t="str">
        <f t="shared" si="19"/>
        <v/>
      </c>
      <c r="H131" s="66">
        <f t="shared" si="20"/>
        <v>5.04670658682635</v>
      </c>
      <c r="I131" s="65">
        <f t="shared" si="21"/>
        <v>1011.11111111111</v>
      </c>
      <c r="J131" s="65" t="str">
        <f t="shared" si="23"/>
        <v/>
      </c>
      <c r="K131" s="66">
        <f t="shared" si="24"/>
        <v>842.8</v>
      </c>
      <c r="L131" s="67"/>
    </row>
    <row r="132" ht="23.1" customHeight="1" spans="1:12">
      <c r="A132" s="109"/>
      <c r="B132" s="80" t="s">
        <v>190</v>
      </c>
      <c r="C132" s="63">
        <v>85</v>
      </c>
      <c r="D132" s="72"/>
      <c r="E132" s="84"/>
      <c r="F132" s="65">
        <f t="shared" si="18"/>
        <v>6.59021956087824</v>
      </c>
      <c r="G132" s="65" t="str">
        <f t="shared" si="19"/>
        <v/>
      </c>
      <c r="H132" s="66" t="str">
        <f t="shared" si="20"/>
        <v/>
      </c>
      <c r="I132" s="65">
        <f t="shared" si="21"/>
        <v>1147.22222222222</v>
      </c>
      <c r="J132" s="65" t="str">
        <f t="shared" si="23"/>
        <v/>
      </c>
      <c r="K132" s="66" t="str">
        <f t="shared" si="24"/>
        <v/>
      </c>
      <c r="L132" s="67"/>
    </row>
    <row r="133" ht="23.1" customHeight="1" spans="1:12">
      <c r="A133" s="109"/>
      <c r="B133" s="80" t="s">
        <v>191</v>
      </c>
      <c r="C133" s="63">
        <v>85</v>
      </c>
      <c r="D133" s="72"/>
      <c r="E133" s="84">
        <v>2750</v>
      </c>
      <c r="F133" s="65">
        <f t="shared" si="18"/>
        <v>6.59021956087824</v>
      </c>
      <c r="G133" s="65" t="str">
        <f t="shared" si="19"/>
        <v/>
      </c>
      <c r="H133" s="66">
        <f t="shared" si="20"/>
        <v>5.64471057884232</v>
      </c>
      <c r="I133" s="65">
        <f t="shared" si="21"/>
        <v>1147.22222222222</v>
      </c>
      <c r="J133" s="65" t="str">
        <f t="shared" si="23"/>
        <v/>
      </c>
      <c r="K133" s="66">
        <f t="shared" si="24"/>
        <v>942.666666666667</v>
      </c>
      <c r="L133" s="67"/>
    </row>
    <row r="134" ht="23.1" customHeight="1" spans="1:12">
      <c r="A134" s="109"/>
      <c r="B134" s="80" t="s">
        <v>192</v>
      </c>
      <c r="C134" s="63">
        <v>85</v>
      </c>
      <c r="D134" s="72"/>
      <c r="E134" s="84"/>
      <c r="F134" s="65">
        <f t="shared" si="18"/>
        <v>6.59021956087824</v>
      </c>
      <c r="G134" s="65" t="str">
        <f t="shared" si="19"/>
        <v/>
      </c>
      <c r="H134" s="66" t="str">
        <f t="shared" si="20"/>
        <v/>
      </c>
      <c r="I134" s="65">
        <f t="shared" si="21"/>
        <v>1147.22222222222</v>
      </c>
      <c r="J134" s="65" t="str">
        <f t="shared" si="23"/>
        <v/>
      </c>
      <c r="K134" s="66" t="str">
        <f t="shared" si="24"/>
        <v/>
      </c>
      <c r="L134" s="67"/>
    </row>
    <row r="135" ht="23.1" customHeight="1" spans="1:12">
      <c r="A135" s="109"/>
      <c r="B135" s="80" t="s">
        <v>193</v>
      </c>
      <c r="C135" s="63">
        <v>85</v>
      </c>
      <c r="D135" s="72"/>
      <c r="E135" s="84"/>
      <c r="F135" s="65">
        <f t="shared" si="18"/>
        <v>6.59021956087824</v>
      </c>
      <c r="G135" s="65" t="str">
        <f t="shared" si="19"/>
        <v/>
      </c>
      <c r="H135" s="66" t="str">
        <f t="shared" si="20"/>
        <v/>
      </c>
      <c r="I135" s="65">
        <f t="shared" si="21"/>
        <v>1147.22222222222</v>
      </c>
      <c r="J135" s="65" t="str">
        <f t="shared" si="23"/>
        <v/>
      </c>
      <c r="K135" s="66" t="str">
        <f t="shared" si="24"/>
        <v/>
      </c>
      <c r="L135" s="67"/>
    </row>
    <row r="136" ht="23.1" customHeight="1" spans="1:12">
      <c r="A136" s="109"/>
      <c r="B136" s="80" t="s">
        <v>194</v>
      </c>
      <c r="C136" s="63">
        <v>85</v>
      </c>
      <c r="D136" s="72"/>
      <c r="E136" s="84"/>
      <c r="F136" s="65">
        <f t="shared" si="18"/>
        <v>6.59021956087824</v>
      </c>
      <c r="G136" s="65" t="str">
        <f t="shared" si="19"/>
        <v/>
      </c>
      <c r="H136" s="66" t="str">
        <f t="shared" si="20"/>
        <v/>
      </c>
      <c r="I136" s="65">
        <f t="shared" si="21"/>
        <v>1147.22222222222</v>
      </c>
      <c r="J136" s="65" t="str">
        <f t="shared" si="23"/>
        <v/>
      </c>
      <c r="K136" s="66" t="str">
        <f t="shared" si="24"/>
        <v/>
      </c>
      <c r="L136" s="67"/>
    </row>
    <row r="137" ht="23.1" customHeight="1" spans="1:12">
      <c r="A137" s="109"/>
      <c r="B137" s="80" t="s">
        <v>195</v>
      </c>
      <c r="C137" s="63">
        <v>170</v>
      </c>
      <c r="D137" s="72"/>
      <c r="E137" s="84"/>
      <c r="F137" s="65">
        <f t="shared" si="18"/>
        <v>8.29021956087824</v>
      </c>
      <c r="G137" s="65" t="str">
        <f t="shared" si="19"/>
        <v/>
      </c>
      <c r="H137" s="66" t="str">
        <f t="shared" si="20"/>
        <v/>
      </c>
      <c r="I137" s="65">
        <f t="shared" si="21"/>
        <v>1477.77777777778</v>
      </c>
      <c r="J137" s="65" t="str">
        <f t="shared" si="23"/>
        <v/>
      </c>
      <c r="K137" s="66" t="str">
        <f t="shared" si="24"/>
        <v/>
      </c>
      <c r="L137" s="67"/>
    </row>
    <row r="138" ht="23.1" customHeight="1" spans="1:12">
      <c r="A138" s="109"/>
      <c r="B138" s="80" t="s">
        <v>196</v>
      </c>
      <c r="C138" s="63">
        <v>195</v>
      </c>
      <c r="D138" s="72"/>
      <c r="E138" s="84"/>
      <c r="F138" s="65">
        <f t="shared" si="18"/>
        <v>8.79021956087824</v>
      </c>
      <c r="G138" s="65" t="str">
        <f t="shared" si="19"/>
        <v/>
      </c>
      <c r="H138" s="66" t="str">
        <f t="shared" si="20"/>
        <v/>
      </c>
      <c r="I138" s="65">
        <f t="shared" si="21"/>
        <v>1575</v>
      </c>
      <c r="J138" s="65" t="str">
        <f t="shared" si="23"/>
        <v/>
      </c>
      <c r="K138" s="66" t="str">
        <f t="shared" si="24"/>
        <v/>
      </c>
      <c r="L138" s="67"/>
    </row>
    <row r="139" ht="23.1" customHeight="1" spans="1:12">
      <c r="A139" s="109"/>
      <c r="B139" s="80" t="s">
        <v>197</v>
      </c>
      <c r="C139" s="63">
        <v>195</v>
      </c>
      <c r="D139" s="72"/>
      <c r="E139" s="84"/>
      <c r="F139" s="65">
        <f t="shared" si="18"/>
        <v>8.79021956087824</v>
      </c>
      <c r="G139" s="65" t="str">
        <f t="shared" si="19"/>
        <v/>
      </c>
      <c r="H139" s="66" t="str">
        <f t="shared" si="20"/>
        <v/>
      </c>
      <c r="I139" s="65">
        <f t="shared" si="21"/>
        <v>1575</v>
      </c>
      <c r="J139" s="65" t="str">
        <f t="shared" si="23"/>
        <v/>
      </c>
      <c r="K139" s="66" t="str">
        <f t="shared" si="24"/>
        <v/>
      </c>
      <c r="L139" s="67"/>
    </row>
    <row r="140" ht="23.1" customHeight="1" spans="1:12">
      <c r="A140" s="109"/>
      <c r="B140" s="80" t="s">
        <v>198</v>
      </c>
      <c r="C140" s="63">
        <v>205</v>
      </c>
      <c r="D140" s="72"/>
      <c r="E140" s="84"/>
      <c r="F140" s="65">
        <f t="shared" si="18"/>
        <v>8.99021956087824</v>
      </c>
      <c r="G140" s="65" t="str">
        <f t="shared" si="19"/>
        <v/>
      </c>
      <c r="H140" s="66" t="str">
        <f t="shared" si="20"/>
        <v/>
      </c>
      <c r="I140" s="65">
        <f t="shared" si="21"/>
        <v>1613.88888888889</v>
      </c>
      <c r="J140" s="65" t="str">
        <f t="shared" si="23"/>
        <v/>
      </c>
      <c r="K140" s="66" t="str">
        <f t="shared" si="24"/>
        <v/>
      </c>
      <c r="L140" s="67"/>
    </row>
    <row r="141" ht="23.1" customHeight="1" spans="1:12">
      <c r="A141" s="109"/>
      <c r="B141" s="80" t="s">
        <v>199</v>
      </c>
      <c r="C141" s="63">
        <v>195</v>
      </c>
      <c r="D141" s="72"/>
      <c r="E141" s="84"/>
      <c r="F141" s="65">
        <f t="shared" si="18"/>
        <v>8.79021956087824</v>
      </c>
      <c r="G141" s="65" t="str">
        <f t="shared" si="19"/>
        <v/>
      </c>
      <c r="H141" s="66" t="str">
        <f t="shared" si="20"/>
        <v/>
      </c>
      <c r="I141" s="65">
        <f t="shared" si="21"/>
        <v>1575</v>
      </c>
      <c r="J141" s="65" t="str">
        <f t="shared" si="23"/>
        <v/>
      </c>
      <c r="K141" s="66" t="str">
        <f t="shared" si="24"/>
        <v/>
      </c>
      <c r="L141" s="67"/>
    </row>
    <row r="142" ht="23.1" customHeight="1" spans="1:12">
      <c r="A142" s="109"/>
      <c r="B142" s="80" t="s">
        <v>200</v>
      </c>
      <c r="C142" s="63">
        <v>185</v>
      </c>
      <c r="D142" s="72"/>
      <c r="E142" s="84"/>
      <c r="F142" s="65">
        <f t="shared" ref="F142:F173" si="25">$J$12+(C142*$J$10/$L$10)</f>
        <v>8.59021956087824</v>
      </c>
      <c r="G142" s="65" t="str">
        <f t="shared" ref="G142:G173" si="26">IF(D142="","",($J$11-$H$7+D142)*$J$10/$H$12)</f>
        <v/>
      </c>
      <c r="H142" s="66" t="str">
        <f t="shared" ref="H142:H173" si="27">IF(E142="","",($J$11-$H$7+E142)*$J$10/$H$12)</f>
        <v/>
      </c>
      <c r="I142" s="65">
        <f t="shared" ref="I142:I173" si="28">$F$12+(C142*$J$10/$L$12)</f>
        <v>1536.11111111111</v>
      </c>
      <c r="J142" s="65" t="str">
        <f t="shared" si="23"/>
        <v/>
      </c>
      <c r="K142" s="66" t="str">
        <f t="shared" si="24"/>
        <v/>
      </c>
      <c r="L142" s="67"/>
    </row>
    <row r="143" ht="23.1" customHeight="1" spans="1:12">
      <c r="A143" s="109"/>
      <c r="B143" s="80" t="s">
        <v>201</v>
      </c>
      <c r="C143" s="63">
        <v>215</v>
      </c>
      <c r="D143" s="72"/>
      <c r="E143" s="84"/>
      <c r="F143" s="65">
        <f t="shared" si="25"/>
        <v>9.19021956087824</v>
      </c>
      <c r="G143" s="65" t="str">
        <f t="shared" si="26"/>
        <v/>
      </c>
      <c r="H143" s="66" t="str">
        <f t="shared" si="27"/>
        <v/>
      </c>
      <c r="I143" s="65">
        <f t="shared" si="28"/>
        <v>1652.77777777778</v>
      </c>
      <c r="J143" s="65" t="str">
        <f t="shared" si="23"/>
        <v/>
      </c>
      <c r="K143" s="66" t="str">
        <f t="shared" si="24"/>
        <v/>
      </c>
      <c r="L143" s="67"/>
    </row>
    <row r="144" ht="23.1" customHeight="1" spans="1:12">
      <c r="A144" s="109"/>
      <c r="B144" s="80" t="s">
        <v>202</v>
      </c>
      <c r="C144" s="63">
        <v>215</v>
      </c>
      <c r="D144" s="72"/>
      <c r="E144" s="84"/>
      <c r="F144" s="65">
        <f t="shared" si="25"/>
        <v>9.19021956087824</v>
      </c>
      <c r="G144" s="65" t="str">
        <f t="shared" si="26"/>
        <v/>
      </c>
      <c r="H144" s="66" t="str">
        <f t="shared" si="27"/>
        <v/>
      </c>
      <c r="I144" s="65">
        <f t="shared" si="28"/>
        <v>1652.77777777778</v>
      </c>
      <c r="J144" s="65" t="str">
        <f t="shared" si="23"/>
        <v/>
      </c>
      <c r="K144" s="66" t="str">
        <f t="shared" si="24"/>
        <v/>
      </c>
      <c r="L144" s="67"/>
    </row>
    <row r="145" ht="23.1" customHeight="1" spans="1:12">
      <c r="A145" s="109"/>
      <c r="B145" s="80" t="s">
        <v>203</v>
      </c>
      <c r="C145" s="63">
        <v>215</v>
      </c>
      <c r="D145" s="72"/>
      <c r="E145" s="84"/>
      <c r="F145" s="65">
        <f t="shared" si="25"/>
        <v>9.19021956087824</v>
      </c>
      <c r="G145" s="65" t="str">
        <f t="shared" si="26"/>
        <v/>
      </c>
      <c r="H145" s="66" t="str">
        <f t="shared" si="27"/>
        <v/>
      </c>
      <c r="I145" s="65">
        <f t="shared" si="28"/>
        <v>1652.77777777778</v>
      </c>
      <c r="J145" s="65" t="str">
        <f t="shared" si="23"/>
        <v/>
      </c>
      <c r="K145" s="66" t="str">
        <f t="shared" si="24"/>
        <v/>
      </c>
      <c r="L145" s="67"/>
    </row>
    <row r="146" ht="23.1" customHeight="1" spans="1:12">
      <c r="A146" s="109"/>
      <c r="B146" s="80" t="s">
        <v>204</v>
      </c>
      <c r="C146" s="63">
        <v>215</v>
      </c>
      <c r="D146" s="72"/>
      <c r="E146" s="84"/>
      <c r="F146" s="65">
        <f t="shared" si="25"/>
        <v>9.19021956087824</v>
      </c>
      <c r="G146" s="65" t="str">
        <f t="shared" si="26"/>
        <v/>
      </c>
      <c r="H146" s="66" t="str">
        <f t="shared" si="27"/>
        <v/>
      </c>
      <c r="I146" s="65">
        <f t="shared" si="28"/>
        <v>1652.77777777778</v>
      </c>
      <c r="J146" s="65" t="str">
        <f t="shared" si="23"/>
        <v/>
      </c>
      <c r="K146" s="66" t="str">
        <f t="shared" si="24"/>
        <v/>
      </c>
      <c r="L146" s="67"/>
    </row>
    <row r="147" ht="23.1" customHeight="1" spans="1:12">
      <c r="A147" s="109"/>
      <c r="B147" s="80" t="s">
        <v>205</v>
      </c>
      <c r="C147" s="63">
        <v>230</v>
      </c>
      <c r="D147" s="72"/>
      <c r="E147" s="84"/>
      <c r="F147" s="65">
        <f t="shared" si="25"/>
        <v>9.49021956087824</v>
      </c>
      <c r="G147" s="65" t="str">
        <f t="shared" si="26"/>
        <v/>
      </c>
      <c r="H147" s="66" t="str">
        <f t="shared" si="27"/>
        <v/>
      </c>
      <c r="I147" s="65">
        <f t="shared" si="28"/>
        <v>1711.11111111111</v>
      </c>
      <c r="J147" s="65" t="str">
        <f t="shared" si="23"/>
        <v/>
      </c>
      <c r="K147" s="66" t="str">
        <f t="shared" si="24"/>
        <v/>
      </c>
      <c r="L147" s="67"/>
    </row>
    <row r="148" ht="23.1" customHeight="1" spans="1:12">
      <c r="A148" s="109"/>
      <c r="B148" s="80" t="s">
        <v>206</v>
      </c>
      <c r="C148" s="63">
        <v>215</v>
      </c>
      <c r="D148" s="72"/>
      <c r="E148" s="84"/>
      <c r="F148" s="65">
        <f t="shared" si="25"/>
        <v>9.19021956087824</v>
      </c>
      <c r="G148" s="65" t="str">
        <f t="shared" si="26"/>
        <v/>
      </c>
      <c r="H148" s="66" t="str">
        <f t="shared" si="27"/>
        <v/>
      </c>
      <c r="I148" s="65">
        <f t="shared" si="28"/>
        <v>1652.77777777778</v>
      </c>
      <c r="J148" s="65" t="str">
        <f t="shared" si="23"/>
        <v/>
      </c>
      <c r="K148" s="66" t="str">
        <f t="shared" si="24"/>
        <v/>
      </c>
      <c r="L148" s="67"/>
    </row>
    <row r="149" ht="23.1" customHeight="1" spans="1:12">
      <c r="A149" s="109"/>
      <c r="B149" s="80" t="s">
        <v>207</v>
      </c>
      <c r="C149" s="63">
        <v>240</v>
      </c>
      <c r="D149" s="72"/>
      <c r="E149" s="84"/>
      <c r="F149" s="65">
        <f t="shared" si="25"/>
        <v>9.69021956087824</v>
      </c>
      <c r="G149" s="65" t="str">
        <f t="shared" si="26"/>
        <v/>
      </c>
      <c r="H149" s="66" t="str">
        <f t="shared" si="27"/>
        <v/>
      </c>
      <c r="I149" s="65">
        <f t="shared" si="28"/>
        <v>1750</v>
      </c>
      <c r="J149" s="65" t="str">
        <f t="shared" si="23"/>
        <v/>
      </c>
      <c r="K149" s="66" t="str">
        <f t="shared" si="24"/>
        <v/>
      </c>
      <c r="L149" s="67"/>
    </row>
    <row r="150" ht="23.1" customHeight="1" spans="1:12">
      <c r="A150" s="109"/>
      <c r="B150" s="80" t="s">
        <v>208</v>
      </c>
      <c r="C150" s="63">
        <v>225</v>
      </c>
      <c r="D150" s="72"/>
      <c r="E150" s="84"/>
      <c r="F150" s="65">
        <f t="shared" si="25"/>
        <v>9.39021956087824</v>
      </c>
      <c r="G150" s="65" t="str">
        <f t="shared" si="26"/>
        <v/>
      </c>
      <c r="H150" s="66" t="str">
        <f t="shared" si="27"/>
        <v/>
      </c>
      <c r="I150" s="65">
        <f t="shared" si="28"/>
        <v>1691.66666666667</v>
      </c>
      <c r="J150" s="65" t="str">
        <f t="shared" si="23"/>
        <v/>
      </c>
      <c r="K150" s="66" t="str">
        <f t="shared" si="24"/>
        <v/>
      </c>
      <c r="L150" s="67"/>
    </row>
    <row r="151" ht="23.1" customHeight="1" spans="1:12">
      <c r="A151" s="109"/>
      <c r="B151" s="80" t="s">
        <v>209</v>
      </c>
      <c r="C151" s="63">
        <v>235</v>
      </c>
      <c r="D151" s="72"/>
      <c r="E151" s="84"/>
      <c r="F151" s="65">
        <f t="shared" si="25"/>
        <v>9.59021956087824</v>
      </c>
      <c r="G151" s="65" t="str">
        <f t="shared" si="26"/>
        <v/>
      </c>
      <c r="H151" s="66" t="str">
        <f t="shared" si="27"/>
        <v/>
      </c>
      <c r="I151" s="65">
        <f t="shared" si="28"/>
        <v>1730.55555555556</v>
      </c>
      <c r="J151" s="65" t="str">
        <f t="shared" ref="J151:J182" si="29">IF(D151="","",($J$11-$H$7+D151)*$J$10/$B$12)</f>
        <v/>
      </c>
      <c r="K151" s="66" t="str">
        <f t="shared" ref="K151:K182" si="30">IF(E151="","",($J$11-$H$7+E151)*$J$10/$B$12)</f>
        <v/>
      </c>
      <c r="L151" s="67"/>
    </row>
    <row r="152" ht="23.1" customHeight="1" spans="1:12">
      <c r="A152" s="109"/>
      <c r="B152" s="80" t="s">
        <v>210</v>
      </c>
      <c r="C152" s="63">
        <v>220</v>
      </c>
      <c r="D152" s="72"/>
      <c r="E152" s="84"/>
      <c r="F152" s="65">
        <f t="shared" si="25"/>
        <v>9.29021956087824</v>
      </c>
      <c r="G152" s="65" t="str">
        <f t="shared" si="26"/>
        <v/>
      </c>
      <c r="H152" s="66" t="str">
        <f t="shared" si="27"/>
        <v/>
      </c>
      <c r="I152" s="65">
        <f t="shared" si="28"/>
        <v>1672.22222222222</v>
      </c>
      <c r="J152" s="65" t="str">
        <f t="shared" si="29"/>
        <v/>
      </c>
      <c r="K152" s="66" t="str">
        <f t="shared" si="30"/>
        <v/>
      </c>
      <c r="L152" s="67"/>
    </row>
    <row r="153" ht="23.1" customHeight="1" spans="1:12">
      <c r="A153" s="109"/>
      <c r="B153" s="80" t="s">
        <v>211</v>
      </c>
      <c r="C153" s="63">
        <v>225</v>
      </c>
      <c r="D153" s="72"/>
      <c r="E153" s="84"/>
      <c r="F153" s="65">
        <f t="shared" si="25"/>
        <v>9.39021956087824</v>
      </c>
      <c r="G153" s="65" t="str">
        <f t="shared" si="26"/>
        <v/>
      </c>
      <c r="H153" s="66" t="str">
        <f t="shared" si="27"/>
        <v/>
      </c>
      <c r="I153" s="65">
        <f t="shared" si="28"/>
        <v>1691.66666666667</v>
      </c>
      <c r="J153" s="65" t="str">
        <f t="shared" si="29"/>
        <v/>
      </c>
      <c r="K153" s="66" t="str">
        <f t="shared" si="30"/>
        <v/>
      </c>
      <c r="L153" s="67"/>
    </row>
    <row r="154" ht="23.1" customHeight="1" spans="1:12">
      <c r="A154" s="109"/>
      <c r="B154" s="80" t="s">
        <v>212</v>
      </c>
      <c r="C154" s="63">
        <v>255</v>
      </c>
      <c r="D154" s="72"/>
      <c r="E154" s="84"/>
      <c r="F154" s="65">
        <f t="shared" si="25"/>
        <v>9.99021956087824</v>
      </c>
      <c r="G154" s="65" t="str">
        <f t="shared" si="26"/>
        <v/>
      </c>
      <c r="H154" s="66" t="str">
        <f t="shared" si="27"/>
        <v/>
      </c>
      <c r="I154" s="65">
        <f t="shared" si="28"/>
        <v>1808.33333333333</v>
      </c>
      <c r="J154" s="65" t="str">
        <f t="shared" si="29"/>
        <v/>
      </c>
      <c r="K154" s="66" t="str">
        <f t="shared" si="30"/>
        <v/>
      </c>
      <c r="L154" s="67"/>
    </row>
    <row r="155" ht="23.1" customHeight="1" spans="1:12">
      <c r="A155" s="109"/>
      <c r="B155" s="80" t="s">
        <v>213</v>
      </c>
      <c r="C155" s="63">
        <v>240</v>
      </c>
      <c r="D155" s="72"/>
      <c r="E155" s="84"/>
      <c r="F155" s="65">
        <f t="shared" si="25"/>
        <v>9.69021956087824</v>
      </c>
      <c r="G155" s="65" t="str">
        <f t="shared" si="26"/>
        <v/>
      </c>
      <c r="H155" s="66" t="str">
        <f t="shared" si="27"/>
        <v/>
      </c>
      <c r="I155" s="65">
        <f t="shared" si="28"/>
        <v>1750</v>
      </c>
      <c r="J155" s="65" t="str">
        <f t="shared" si="29"/>
        <v/>
      </c>
      <c r="K155" s="66" t="str">
        <f t="shared" si="30"/>
        <v/>
      </c>
      <c r="L155" s="67"/>
    </row>
    <row r="156" ht="23.1" customHeight="1" spans="1:12">
      <c r="A156" s="109"/>
      <c r="B156" s="80" t="s">
        <v>214</v>
      </c>
      <c r="C156" s="63">
        <v>245</v>
      </c>
      <c r="D156" s="72"/>
      <c r="E156" s="84"/>
      <c r="F156" s="65">
        <f t="shared" si="25"/>
        <v>9.79021956087824</v>
      </c>
      <c r="G156" s="65" t="str">
        <f t="shared" si="26"/>
        <v/>
      </c>
      <c r="H156" s="66" t="str">
        <f t="shared" si="27"/>
        <v/>
      </c>
      <c r="I156" s="65">
        <f t="shared" si="28"/>
        <v>1769.44444444444</v>
      </c>
      <c r="J156" s="65" t="str">
        <f t="shared" si="29"/>
        <v/>
      </c>
      <c r="K156" s="66" t="str">
        <f t="shared" si="30"/>
        <v/>
      </c>
      <c r="L156" s="67"/>
    </row>
    <row r="157" ht="23.1" customHeight="1" spans="1:12">
      <c r="A157" s="109"/>
      <c r="B157" s="80" t="s">
        <v>215</v>
      </c>
      <c r="C157" s="63">
        <v>250</v>
      </c>
      <c r="D157" s="72"/>
      <c r="E157" s="84"/>
      <c r="F157" s="65">
        <f t="shared" si="25"/>
        <v>9.89021956087824</v>
      </c>
      <c r="G157" s="65" t="str">
        <f t="shared" si="26"/>
        <v/>
      </c>
      <c r="H157" s="66" t="str">
        <f t="shared" si="27"/>
        <v/>
      </c>
      <c r="I157" s="65">
        <f t="shared" si="28"/>
        <v>1788.88888888889</v>
      </c>
      <c r="J157" s="65" t="str">
        <f t="shared" si="29"/>
        <v/>
      </c>
      <c r="K157" s="66" t="str">
        <f t="shared" si="30"/>
        <v/>
      </c>
      <c r="L157" s="67"/>
    </row>
    <row r="158" ht="23.1" customHeight="1" spans="1:12">
      <c r="A158" s="109"/>
      <c r="B158" s="80" t="s">
        <v>216</v>
      </c>
      <c r="C158" s="63">
        <v>250</v>
      </c>
      <c r="D158" s="72"/>
      <c r="E158" s="84"/>
      <c r="F158" s="65">
        <f t="shared" si="25"/>
        <v>9.89021956087824</v>
      </c>
      <c r="G158" s="65" t="str">
        <f t="shared" si="26"/>
        <v/>
      </c>
      <c r="H158" s="66" t="str">
        <f t="shared" si="27"/>
        <v/>
      </c>
      <c r="I158" s="65">
        <f t="shared" si="28"/>
        <v>1788.88888888889</v>
      </c>
      <c r="J158" s="65" t="str">
        <f t="shared" si="29"/>
        <v/>
      </c>
      <c r="K158" s="66" t="str">
        <f t="shared" si="30"/>
        <v/>
      </c>
      <c r="L158" s="67"/>
    </row>
    <row r="159" ht="23.1" customHeight="1" spans="1:12">
      <c r="A159" s="109"/>
      <c r="B159" s="80" t="s">
        <v>217</v>
      </c>
      <c r="C159" s="63">
        <v>225</v>
      </c>
      <c r="D159" s="72"/>
      <c r="E159" s="84"/>
      <c r="F159" s="65">
        <f t="shared" si="25"/>
        <v>9.39021956087824</v>
      </c>
      <c r="G159" s="65" t="str">
        <f t="shared" si="26"/>
        <v/>
      </c>
      <c r="H159" s="66" t="str">
        <f t="shared" si="27"/>
        <v/>
      </c>
      <c r="I159" s="65">
        <f t="shared" si="28"/>
        <v>1691.66666666667</v>
      </c>
      <c r="J159" s="65" t="str">
        <f t="shared" si="29"/>
        <v/>
      </c>
      <c r="K159" s="66" t="str">
        <f t="shared" si="30"/>
        <v/>
      </c>
      <c r="L159" s="67"/>
    </row>
    <row r="160" ht="23.1" customHeight="1" spans="1:12">
      <c r="A160" s="109"/>
      <c r="B160" s="80" t="s">
        <v>218</v>
      </c>
      <c r="C160" s="63">
        <v>275</v>
      </c>
      <c r="D160" s="72"/>
      <c r="E160" s="84"/>
      <c r="F160" s="65">
        <f t="shared" si="25"/>
        <v>10.3902195608782</v>
      </c>
      <c r="G160" s="65" t="str">
        <f t="shared" si="26"/>
        <v/>
      </c>
      <c r="H160" s="66" t="str">
        <f t="shared" si="27"/>
        <v/>
      </c>
      <c r="I160" s="65">
        <f t="shared" si="28"/>
        <v>1886.11111111111</v>
      </c>
      <c r="J160" s="65" t="str">
        <f t="shared" si="29"/>
        <v/>
      </c>
      <c r="K160" s="66" t="str">
        <f t="shared" si="30"/>
        <v/>
      </c>
      <c r="L160" s="67"/>
    </row>
    <row r="161" ht="23.1" customHeight="1" spans="1:12">
      <c r="A161" s="109"/>
      <c r="B161" s="80" t="s">
        <v>219</v>
      </c>
      <c r="C161" s="63">
        <v>280</v>
      </c>
      <c r="D161" s="72"/>
      <c r="E161" s="84"/>
      <c r="F161" s="65">
        <f t="shared" si="25"/>
        <v>10.4902195608782</v>
      </c>
      <c r="G161" s="65" t="str">
        <f t="shared" si="26"/>
        <v/>
      </c>
      <c r="H161" s="66" t="str">
        <f t="shared" si="27"/>
        <v/>
      </c>
      <c r="I161" s="65">
        <f t="shared" si="28"/>
        <v>1905.55555555556</v>
      </c>
      <c r="J161" s="65" t="str">
        <f t="shared" si="29"/>
        <v/>
      </c>
      <c r="K161" s="66" t="str">
        <f t="shared" si="30"/>
        <v/>
      </c>
      <c r="L161" s="67"/>
    </row>
    <row r="162" ht="23.1" customHeight="1" spans="1:12">
      <c r="A162" s="109"/>
      <c r="B162" s="80" t="s">
        <v>220</v>
      </c>
      <c r="C162" s="63">
        <v>290</v>
      </c>
      <c r="D162" s="72"/>
      <c r="E162" s="84"/>
      <c r="F162" s="65">
        <f t="shared" si="25"/>
        <v>10.6902195608782</v>
      </c>
      <c r="G162" s="65" t="str">
        <f t="shared" si="26"/>
        <v/>
      </c>
      <c r="H162" s="66" t="str">
        <f t="shared" si="27"/>
        <v/>
      </c>
      <c r="I162" s="65">
        <f t="shared" si="28"/>
        <v>1944.44444444444</v>
      </c>
      <c r="J162" s="65" t="str">
        <f t="shared" si="29"/>
        <v/>
      </c>
      <c r="K162" s="66" t="str">
        <f t="shared" si="30"/>
        <v/>
      </c>
      <c r="L162" s="67"/>
    </row>
    <row r="163" ht="23.1" customHeight="1" spans="1:12">
      <c r="A163" s="109"/>
      <c r="B163" s="80" t="s">
        <v>221</v>
      </c>
      <c r="C163" s="63">
        <v>290</v>
      </c>
      <c r="D163" s="72"/>
      <c r="E163" s="84"/>
      <c r="F163" s="65">
        <f t="shared" si="25"/>
        <v>10.6902195608782</v>
      </c>
      <c r="G163" s="65" t="str">
        <f t="shared" si="26"/>
        <v/>
      </c>
      <c r="H163" s="66" t="str">
        <f t="shared" si="27"/>
        <v/>
      </c>
      <c r="I163" s="65">
        <f t="shared" si="28"/>
        <v>1944.44444444444</v>
      </c>
      <c r="J163" s="65" t="str">
        <f t="shared" si="29"/>
        <v/>
      </c>
      <c r="K163" s="66" t="str">
        <f t="shared" si="30"/>
        <v/>
      </c>
      <c r="L163" s="67"/>
    </row>
    <row r="164" ht="23.1" customHeight="1" spans="1:12">
      <c r="A164" s="109"/>
      <c r="B164" s="80" t="s">
        <v>222</v>
      </c>
      <c r="C164" s="63">
        <v>265</v>
      </c>
      <c r="D164" s="72"/>
      <c r="E164" s="84"/>
      <c r="F164" s="65">
        <f t="shared" si="25"/>
        <v>10.1902195608782</v>
      </c>
      <c r="G164" s="65" t="str">
        <f t="shared" si="26"/>
        <v/>
      </c>
      <c r="H164" s="66" t="str">
        <f t="shared" si="27"/>
        <v/>
      </c>
      <c r="I164" s="65">
        <f t="shared" si="28"/>
        <v>1847.22222222222</v>
      </c>
      <c r="J164" s="65" t="str">
        <f t="shared" si="29"/>
        <v/>
      </c>
      <c r="K164" s="66" t="str">
        <f t="shared" si="30"/>
        <v/>
      </c>
      <c r="L164" s="67"/>
    </row>
    <row r="165" ht="23.1" customHeight="1" spans="1:12">
      <c r="A165" s="109"/>
      <c r="B165" s="80" t="s">
        <v>223</v>
      </c>
      <c r="C165" s="63">
        <v>285</v>
      </c>
      <c r="D165" s="72"/>
      <c r="E165" s="84"/>
      <c r="F165" s="65">
        <f t="shared" si="25"/>
        <v>10.5902195608782</v>
      </c>
      <c r="G165" s="65" t="str">
        <f t="shared" si="26"/>
        <v/>
      </c>
      <c r="H165" s="66" t="str">
        <f t="shared" si="27"/>
        <v/>
      </c>
      <c r="I165" s="65">
        <f t="shared" si="28"/>
        <v>1925</v>
      </c>
      <c r="J165" s="65" t="str">
        <f t="shared" si="29"/>
        <v/>
      </c>
      <c r="K165" s="66" t="str">
        <f t="shared" si="30"/>
        <v/>
      </c>
      <c r="L165" s="67"/>
    </row>
    <row r="166" ht="23.1" customHeight="1" spans="1:12">
      <c r="A166" s="109"/>
      <c r="B166" s="80" t="s">
        <v>224</v>
      </c>
      <c r="C166" s="63">
        <v>285</v>
      </c>
      <c r="D166" s="72"/>
      <c r="E166" s="84"/>
      <c r="F166" s="65">
        <f t="shared" si="25"/>
        <v>10.5902195608782</v>
      </c>
      <c r="G166" s="65" t="str">
        <f t="shared" si="26"/>
        <v/>
      </c>
      <c r="H166" s="66" t="str">
        <f t="shared" si="27"/>
        <v/>
      </c>
      <c r="I166" s="65">
        <f t="shared" si="28"/>
        <v>1925</v>
      </c>
      <c r="J166" s="65" t="str">
        <f t="shared" si="29"/>
        <v/>
      </c>
      <c r="K166" s="66" t="str">
        <f t="shared" si="30"/>
        <v/>
      </c>
      <c r="L166" s="67"/>
    </row>
    <row r="167" ht="23.1" customHeight="1" spans="1:12">
      <c r="A167" s="109"/>
      <c r="B167" s="80" t="s">
        <v>225</v>
      </c>
      <c r="C167" s="63">
        <v>285</v>
      </c>
      <c r="D167" s="72"/>
      <c r="E167" s="84"/>
      <c r="F167" s="65">
        <f t="shared" si="25"/>
        <v>10.5902195608782</v>
      </c>
      <c r="G167" s="65" t="str">
        <f t="shared" si="26"/>
        <v/>
      </c>
      <c r="H167" s="66" t="str">
        <f t="shared" si="27"/>
        <v/>
      </c>
      <c r="I167" s="65">
        <f t="shared" si="28"/>
        <v>1925</v>
      </c>
      <c r="J167" s="65" t="str">
        <f t="shared" si="29"/>
        <v/>
      </c>
      <c r="K167" s="66" t="str">
        <f t="shared" si="30"/>
        <v/>
      </c>
      <c r="L167" s="67"/>
    </row>
    <row r="168" ht="23.1" customHeight="1" spans="1:12">
      <c r="A168" s="109"/>
      <c r="B168" s="80" t="s">
        <v>226</v>
      </c>
      <c r="C168" s="63">
        <v>285</v>
      </c>
      <c r="D168" s="72"/>
      <c r="E168" s="84"/>
      <c r="F168" s="65">
        <f t="shared" si="25"/>
        <v>10.5902195608782</v>
      </c>
      <c r="G168" s="65" t="str">
        <f t="shared" si="26"/>
        <v/>
      </c>
      <c r="H168" s="66" t="str">
        <f t="shared" si="27"/>
        <v/>
      </c>
      <c r="I168" s="65">
        <f t="shared" si="28"/>
        <v>1925</v>
      </c>
      <c r="J168" s="65" t="str">
        <f t="shared" si="29"/>
        <v/>
      </c>
      <c r="K168" s="66" t="str">
        <f t="shared" si="30"/>
        <v/>
      </c>
      <c r="L168" s="67"/>
    </row>
    <row r="169" ht="23.1" customHeight="1" spans="1:12">
      <c r="A169" s="109"/>
      <c r="B169" s="80" t="s">
        <v>227</v>
      </c>
      <c r="C169" s="63">
        <v>270</v>
      </c>
      <c r="D169" s="72"/>
      <c r="E169" s="84"/>
      <c r="F169" s="65">
        <f t="shared" si="25"/>
        <v>10.2902195608782</v>
      </c>
      <c r="G169" s="65" t="str">
        <f t="shared" si="26"/>
        <v/>
      </c>
      <c r="H169" s="66" t="str">
        <f t="shared" si="27"/>
        <v/>
      </c>
      <c r="I169" s="65">
        <f t="shared" si="28"/>
        <v>1866.66666666667</v>
      </c>
      <c r="J169" s="65" t="str">
        <f t="shared" si="29"/>
        <v/>
      </c>
      <c r="K169" s="66" t="str">
        <f t="shared" si="30"/>
        <v/>
      </c>
      <c r="L169" s="67"/>
    </row>
    <row r="170" ht="23.1" customHeight="1" spans="1:12">
      <c r="A170" s="109"/>
      <c r="B170" s="80" t="s">
        <v>228</v>
      </c>
      <c r="C170" s="63">
        <v>300</v>
      </c>
      <c r="D170" s="72"/>
      <c r="E170" s="84"/>
      <c r="F170" s="65">
        <f t="shared" si="25"/>
        <v>10.8902195608782</v>
      </c>
      <c r="G170" s="65" t="str">
        <f t="shared" si="26"/>
        <v/>
      </c>
      <c r="H170" s="66" t="str">
        <f t="shared" si="27"/>
        <v/>
      </c>
      <c r="I170" s="65">
        <f t="shared" si="28"/>
        <v>1983.33333333333</v>
      </c>
      <c r="J170" s="65" t="str">
        <f t="shared" si="29"/>
        <v/>
      </c>
      <c r="K170" s="66" t="str">
        <f t="shared" si="30"/>
        <v/>
      </c>
      <c r="L170" s="67"/>
    </row>
    <row r="171" ht="23.1" customHeight="1" spans="1:12">
      <c r="A171" s="109"/>
      <c r="B171" s="80" t="s">
        <v>229</v>
      </c>
      <c r="C171" s="63">
        <v>350</v>
      </c>
      <c r="D171" s="72"/>
      <c r="E171" s="84"/>
      <c r="F171" s="65">
        <f t="shared" si="25"/>
        <v>11.8902195608782</v>
      </c>
      <c r="G171" s="65" t="str">
        <f t="shared" si="26"/>
        <v/>
      </c>
      <c r="H171" s="66" t="str">
        <f t="shared" si="27"/>
        <v/>
      </c>
      <c r="I171" s="65">
        <f t="shared" si="28"/>
        <v>2177.77777777778</v>
      </c>
      <c r="J171" s="65" t="str">
        <f t="shared" si="29"/>
        <v/>
      </c>
      <c r="K171" s="66" t="str">
        <f t="shared" si="30"/>
        <v/>
      </c>
      <c r="L171" s="67"/>
    </row>
    <row r="172" ht="23.1" customHeight="1" spans="1:12">
      <c r="A172" s="109"/>
      <c r="B172" s="80" t="s">
        <v>230</v>
      </c>
      <c r="C172" s="63">
        <v>375</v>
      </c>
      <c r="D172" s="72"/>
      <c r="E172" s="84"/>
      <c r="F172" s="65">
        <f t="shared" si="25"/>
        <v>12.3902195608782</v>
      </c>
      <c r="G172" s="65" t="str">
        <f t="shared" si="26"/>
        <v/>
      </c>
      <c r="H172" s="66" t="str">
        <f t="shared" si="27"/>
        <v/>
      </c>
      <c r="I172" s="65">
        <f t="shared" si="28"/>
        <v>2275</v>
      </c>
      <c r="J172" s="65" t="str">
        <f t="shared" si="29"/>
        <v/>
      </c>
      <c r="K172" s="66" t="str">
        <f t="shared" si="30"/>
        <v/>
      </c>
      <c r="L172" s="67"/>
    </row>
    <row r="173" ht="23.1" customHeight="1" spans="1:12">
      <c r="A173" s="109"/>
      <c r="B173" s="80" t="s">
        <v>231</v>
      </c>
      <c r="C173" s="63">
        <v>265</v>
      </c>
      <c r="D173" s="72"/>
      <c r="E173" s="84"/>
      <c r="F173" s="65">
        <f t="shared" si="25"/>
        <v>10.1902195608782</v>
      </c>
      <c r="G173" s="65" t="str">
        <f t="shared" si="26"/>
        <v/>
      </c>
      <c r="H173" s="66" t="str">
        <f t="shared" si="27"/>
        <v/>
      </c>
      <c r="I173" s="65">
        <f t="shared" si="28"/>
        <v>1847.22222222222</v>
      </c>
      <c r="J173" s="65" t="str">
        <f t="shared" si="29"/>
        <v/>
      </c>
      <c r="K173" s="66" t="str">
        <f t="shared" si="30"/>
        <v/>
      </c>
      <c r="L173" s="67"/>
    </row>
    <row r="174" ht="23.1" customHeight="1" spans="1:12">
      <c r="A174" s="109"/>
      <c r="B174" s="80" t="s">
        <v>232</v>
      </c>
      <c r="C174" s="63">
        <v>225</v>
      </c>
      <c r="D174" s="72"/>
      <c r="E174" s="84"/>
      <c r="F174" s="65">
        <f t="shared" ref="F174:F198" si="31">$J$12+(C174*$J$10/$L$10)</f>
        <v>9.39021956087824</v>
      </c>
      <c r="G174" s="65" t="str">
        <f t="shared" ref="G174:G198" si="32">IF(D174="","",($J$11-$H$7+D174)*$J$10/$H$12)</f>
        <v/>
      </c>
      <c r="H174" s="66" t="str">
        <f t="shared" ref="H174:H198" si="33">IF(E174="","",($J$11-$H$7+E174)*$J$10/$H$12)</f>
        <v/>
      </c>
      <c r="I174" s="65">
        <f t="shared" ref="I174:I198" si="34">$F$12+(C174*$J$10/$L$12)</f>
        <v>1691.66666666667</v>
      </c>
      <c r="J174" s="65" t="str">
        <f t="shared" si="29"/>
        <v/>
      </c>
      <c r="K174" s="66" t="str">
        <f t="shared" si="30"/>
        <v/>
      </c>
      <c r="L174" s="67"/>
    </row>
    <row r="175" ht="23.1" customHeight="1" spans="1:12">
      <c r="A175" s="109"/>
      <c r="B175" s="80" t="s">
        <v>233</v>
      </c>
      <c r="C175" s="63">
        <v>230</v>
      </c>
      <c r="D175" s="72"/>
      <c r="E175" s="84"/>
      <c r="F175" s="65">
        <f t="shared" si="31"/>
        <v>9.49021956087824</v>
      </c>
      <c r="G175" s="65" t="str">
        <f t="shared" si="32"/>
        <v/>
      </c>
      <c r="H175" s="66" t="str">
        <f t="shared" si="33"/>
        <v/>
      </c>
      <c r="I175" s="65">
        <f t="shared" si="34"/>
        <v>1711.11111111111</v>
      </c>
      <c r="J175" s="65" t="str">
        <f t="shared" si="29"/>
        <v/>
      </c>
      <c r="K175" s="66" t="str">
        <f t="shared" si="30"/>
        <v/>
      </c>
      <c r="L175" s="67"/>
    </row>
    <row r="176" ht="23.1" customHeight="1" spans="1:12">
      <c r="A176" s="109"/>
      <c r="B176" s="80" t="s">
        <v>234</v>
      </c>
      <c r="C176" s="63">
        <v>230</v>
      </c>
      <c r="D176" s="72"/>
      <c r="E176" s="84"/>
      <c r="F176" s="65">
        <f t="shared" si="31"/>
        <v>9.49021956087824</v>
      </c>
      <c r="G176" s="65" t="str">
        <f t="shared" si="32"/>
        <v/>
      </c>
      <c r="H176" s="66" t="str">
        <f t="shared" si="33"/>
        <v/>
      </c>
      <c r="I176" s="65">
        <f t="shared" si="34"/>
        <v>1711.11111111111</v>
      </c>
      <c r="J176" s="65" t="str">
        <f t="shared" si="29"/>
        <v/>
      </c>
      <c r="K176" s="66" t="str">
        <f t="shared" si="30"/>
        <v/>
      </c>
      <c r="L176" s="67"/>
    </row>
    <row r="177" ht="23.1" customHeight="1" spans="1:12">
      <c r="A177" s="109"/>
      <c r="B177" s="80" t="s">
        <v>235</v>
      </c>
      <c r="C177" s="63">
        <v>230</v>
      </c>
      <c r="D177" s="72"/>
      <c r="E177" s="84"/>
      <c r="F177" s="65">
        <f t="shared" si="31"/>
        <v>9.49021956087824</v>
      </c>
      <c r="G177" s="65" t="str">
        <f t="shared" si="32"/>
        <v/>
      </c>
      <c r="H177" s="66" t="str">
        <f t="shared" si="33"/>
        <v/>
      </c>
      <c r="I177" s="65">
        <f t="shared" si="34"/>
        <v>1711.11111111111</v>
      </c>
      <c r="J177" s="65" t="str">
        <f t="shared" si="29"/>
        <v/>
      </c>
      <c r="K177" s="66" t="str">
        <f t="shared" si="30"/>
        <v/>
      </c>
      <c r="L177" s="67"/>
    </row>
    <row r="178" ht="23.1" customHeight="1" spans="1:12">
      <c r="A178" s="109"/>
      <c r="B178" s="80" t="s">
        <v>236</v>
      </c>
      <c r="C178" s="63">
        <v>230</v>
      </c>
      <c r="D178" s="72"/>
      <c r="E178" s="84"/>
      <c r="F178" s="65">
        <f t="shared" si="31"/>
        <v>9.49021956087824</v>
      </c>
      <c r="G178" s="65" t="str">
        <f t="shared" si="32"/>
        <v/>
      </c>
      <c r="H178" s="66" t="str">
        <f t="shared" si="33"/>
        <v/>
      </c>
      <c r="I178" s="65">
        <f t="shared" si="34"/>
        <v>1711.11111111111</v>
      </c>
      <c r="J178" s="65" t="str">
        <f t="shared" si="29"/>
        <v/>
      </c>
      <c r="K178" s="66" t="str">
        <f t="shared" si="30"/>
        <v/>
      </c>
      <c r="L178" s="67"/>
    </row>
    <row r="179" ht="23.1" customHeight="1" spans="1:12">
      <c r="A179" s="109"/>
      <c r="B179" s="80" t="s">
        <v>237</v>
      </c>
      <c r="C179" s="63">
        <v>50</v>
      </c>
      <c r="D179" s="72"/>
      <c r="E179" s="84">
        <v>1530</v>
      </c>
      <c r="F179" s="65">
        <f t="shared" si="31"/>
        <v>5.89021956087824</v>
      </c>
      <c r="G179" s="65" t="str">
        <f t="shared" si="32"/>
        <v/>
      </c>
      <c r="H179" s="66">
        <f t="shared" si="33"/>
        <v>4.96287425149701</v>
      </c>
      <c r="I179" s="65">
        <f t="shared" si="34"/>
        <v>1011.11111111111</v>
      </c>
      <c r="J179" s="65" t="str">
        <f t="shared" si="29"/>
        <v/>
      </c>
      <c r="K179" s="66">
        <f t="shared" si="30"/>
        <v>828.8</v>
      </c>
      <c r="L179" s="67"/>
    </row>
    <row r="180" ht="23.1" customHeight="1" spans="1:12">
      <c r="A180" s="109"/>
      <c r="B180" s="80" t="s">
        <v>238</v>
      </c>
      <c r="C180" s="63">
        <v>50</v>
      </c>
      <c r="D180" s="72"/>
      <c r="E180" s="84">
        <v>1480</v>
      </c>
      <c r="F180" s="65">
        <f t="shared" si="31"/>
        <v>5.89021956087824</v>
      </c>
      <c r="G180" s="65" t="str">
        <f t="shared" si="32"/>
        <v/>
      </c>
      <c r="H180" s="66">
        <f t="shared" si="33"/>
        <v>4.93493013972056</v>
      </c>
      <c r="I180" s="65">
        <f t="shared" si="34"/>
        <v>1011.11111111111</v>
      </c>
      <c r="J180" s="65" t="str">
        <f t="shared" si="29"/>
        <v/>
      </c>
      <c r="K180" s="66">
        <f t="shared" si="30"/>
        <v>824.133333333333</v>
      </c>
      <c r="L180" s="67"/>
    </row>
    <row r="181" ht="23.1" customHeight="1" spans="1:12">
      <c r="A181" s="109"/>
      <c r="B181" s="80" t="s">
        <v>239</v>
      </c>
      <c r="C181" s="63">
        <v>50</v>
      </c>
      <c r="D181" s="72"/>
      <c r="E181" s="84"/>
      <c r="F181" s="65">
        <f t="shared" si="31"/>
        <v>5.89021956087824</v>
      </c>
      <c r="G181" s="65" t="str">
        <f t="shared" si="32"/>
        <v/>
      </c>
      <c r="H181" s="66" t="str">
        <f t="shared" si="33"/>
        <v/>
      </c>
      <c r="I181" s="65">
        <f t="shared" si="34"/>
        <v>1011.11111111111</v>
      </c>
      <c r="J181" s="65" t="str">
        <f t="shared" si="29"/>
        <v/>
      </c>
      <c r="K181" s="66" t="str">
        <f t="shared" si="30"/>
        <v/>
      </c>
      <c r="L181" s="67"/>
    </row>
    <row r="182" ht="23.1" customHeight="1" spans="1:12">
      <c r="A182" s="109"/>
      <c r="B182" s="80" t="s">
        <v>240</v>
      </c>
      <c r="C182" s="63">
        <v>85</v>
      </c>
      <c r="D182" s="72"/>
      <c r="E182" s="84">
        <v>2750</v>
      </c>
      <c r="F182" s="65">
        <f t="shared" si="31"/>
        <v>6.59021956087824</v>
      </c>
      <c r="G182" s="65" t="str">
        <f t="shared" si="32"/>
        <v/>
      </c>
      <c r="H182" s="66">
        <f t="shared" si="33"/>
        <v>5.64471057884232</v>
      </c>
      <c r="I182" s="65">
        <f t="shared" si="34"/>
        <v>1147.22222222222</v>
      </c>
      <c r="J182" s="65" t="str">
        <f t="shared" si="29"/>
        <v/>
      </c>
      <c r="K182" s="66">
        <f t="shared" si="30"/>
        <v>942.666666666667</v>
      </c>
      <c r="L182" s="67"/>
    </row>
    <row r="183" ht="23.1" customHeight="1" spans="1:12">
      <c r="A183" s="109"/>
      <c r="B183" s="80" t="s">
        <v>241</v>
      </c>
      <c r="C183" s="63">
        <v>85</v>
      </c>
      <c r="D183" s="72"/>
      <c r="E183" s="84">
        <v>2730</v>
      </c>
      <c r="F183" s="65">
        <f t="shared" si="31"/>
        <v>6.59021956087824</v>
      </c>
      <c r="G183" s="65" t="str">
        <f t="shared" si="32"/>
        <v/>
      </c>
      <c r="H183" s="66">
        <f t="shared" si="33"/>
        <v>5.63353293413174</v>
      </c>
      <c r="I183" s="65">
        <f t="shared" si="34"/>
        <v>1147.22222222222</v>
      </c>
      <c r="J183" s="65" t="str">
        <f t="shared" ref="J183:J198" si="35">IF(D183="","",($J$11-$H$7+D183)*$J$10/$B$12)</f>
        <v/>
      </c>
      <c r="K183" s="66">
        <f t="shared" ref="K183:K198" si="36">IF(E183="","",($J$11-$H$7+E183)*$J$10/$B$12)</f>
        <v>940.8</v>
      </c>
      <c r="L183" s="67"/>
    </row>
    <row r="184" ht="23.1" customHeight="1" spans="1:12">
      <c r="A184" s="109"/>
      <c r="B184" s="80" t="s">
        <v>242</v>
      </c>
      <c r="C184" s="63">
        <v>85</v>
      </c>
      <c r="D184" s="110"/>
      <c r="E184" s="104"/>
      <c r="F184" s="106">
        <f t="shared" si="31"/>
        <v>6.59021956087824</v>
      </c>
      <c r="G184" s="65" t="str">
        <f t="shared" si="32"/>
        <v/>
      </c>
      <c r="H184" s="66" t="str">
        <f t="shared" si="33"/>
        <v/>
      </c>
      <c r="I184" s="65">
        <f t="shared" si="34"/>
        <v>1147.22222222222</v>
      </c>
      <c r="J184" s="65" t="str">
        <f t="shared" si="35"/>
        <v/>
      </c>
      <c r="K184" s="66" t="str">
        <f t="shared" si="36"/>
        <v/>
      </c>
      <c r="L184" s="67"/>
    </row>
    <row r="185" ht="23.1" customHeight="1" spans="1:12">
      <c r="A185" s="109"/>
      <c r="B185" s="80" t="s">
        <v>243</v>
      </c>
      <c r="C185" s="63">
        <v>130</v>
      </c>
      <c r="D185" s="110"/>
      <c r="E185" s="104"/>
      <c r="F185" s="106">
        <f t="shared" si="31"/>
        <v>7.49021956087824</v>
      </c>
      <c r="G185" s="65" t="str">
        <f t="shared" si="32"/>
        <v/>
      </c>
      <c r="H185" s="66" t="str">
        <f t="shared" si="33"/>
        <v/>
      </c>
      <c r="I185" s="65">
        <f t="shared" si="34"/>
        <v>1322.22222222222</v>
      </c>
      <c r="J185" s="65" t="str">
        <f t="shared" si="35"/>
        <v/>
      </c>
      <c r="K185" s="66" t="str">
        <f t="shared" si="36"/>
        <v/>
      </c>
      <c r="L185" s="67"/>
    </row>
    <row r="186" ht="23.1" customHeight="1" spans="1:12">
      <c r="A186" s="109"/>
      <c r="B186" s="80" t="s">
        <v>244</v>
      </c>
      <c r="C186" s="63">
        <v>195</v>
      </c>
      <c r="D186" s="110"/>
      <c r="E186" s="104"/>
      <c r="F186" s="106">
        <f t="shared" si="31"/>
        <v>8.79021956087824</v>
      </c>
      <c r="G186" s="65" t="str">
        <f t="shared" si="32"/>
        <v/>
      </c>
      <c r="H186" s="66" t="str">
        <f t="shared" si="33"/>
        <v/>
      </c>
      <c r="I186" s="65">
        <f t="shared" si="34"/>
        <v>1575</v>
      </c>
      <c r="J186" s="65" t="str">
        <f t="shared" si="35"/>
        <v/>
      </c>
      <c r="K186" s="66" t="str">
        <f t="shared" si="36"/>
        <v/>
      </c>
      <c r="L186" s="67"/>
    </row>
    <row r="187" ht="23.1" customHeight="1" spans="1:12">
      <c r="A187" s="109"/>
      <c r="B187" s="80" t="s">
        <v>245</v>
      </c>
      <c r="C187" s="63">
        <v>205</v>
      </c>
      <c r="D187" s="110"/>
      <c r="E187" s="104"/>
      <c r="F187" s="106">
        <f t="shared" si="31"/>
        <v>8.99021956087824</v>
      </c>
      <c r="G187" s="65" t="str">
        <f t="shared" si="32"/>
        <v/>
      </c>
      <c r="H187" s="66" t="str">
        <f t="shared" si="33"/>
        <v/>
      </c>
      <c r="I187" s="65">
        <f t="shared" si="34"/>
        <v>1613.88888888889</v>
      </c>
      <c r="J187" s="65" t="str">
        <f t="shared" si="35"/>
        <v/>
      </c>
      <c r="K187" s="66" t="str">
        <f t="shared" si="36"/>
        <v/>
      </c>
      <c r="L187" s="67"/>
    </row>
    <row r="188" ht="23.1" customHeight="1" spans="1:12">
      <c r="A188" s="109"/>
      <c r="B188" s="80" t="s">
        <v>246</v>
      </c>
      <c r="C188" s="63">
        <v>85</v>
      </c>
      <c r="D188" s="110"/>
      <c r="E188" s="104"/>
      <c r="F188" s="106">
        <f t="shared" si="31"/>
        <v>6.59021956087824</v>
      </c>
      <c r="G188" s="65" t="str">
        <f t="shared" si="32"/>
        <v/>
      </c>
      <c r="H188" s="66" t="str">
        <f t="shared" si="33"/>
        <v/>
      </c>
      <c r="I188" s="65">
        <f t="shared" si="34"/>
        <v>1147.22222222222</v>
      </c>
      <c r="J188" s="65" t="str">
        <f t="shared" si="35"/>
        <v/>
      </c>
      <c r="K188" s="66" t="str">
        <f t="shared" si="36"/>
        <v/>
      </c>
      <c r="L188" s="67"/>
    </row>
    <row r="189" ht="23.1" customHeight="1" spans="1:12">
      <c r="A189" s="109"/>
      <c r="B189" s="80" t="s">
        <v>247</v>
      </c>
      <c r="C189" s="63">
        <v>85</v>
      </c>
      <c r="D189" s="110"/>
      <c r="E189" s="104"/>
      <c r="F189" s="106">
        <f t="shared" si="31"/>
        <v>6.59021956087824</v>
      </c>
      <c r="G189" s="65" t="str">
        <f t="shared" si="32"/>
        <v/>
      </c>
      <c r="H189" s="66" t="str">
        <f t="shared" si="33"/>
        <v/>
      </c>
      <c r="I189" s="65">
        <f t="shared" si="34"/>
        <v>1147.22222222222</v>
      </c>
      <c r="J189" s="65" t="str">
        <f t="shared" si="35"/>
        <v/>
      </c>
      <c r="K189" s="66" t="str">
        <f t="shared" si="36"/>
        <v/>
      </c>
      <c r="L189" s="67">
        <v>7.2</v>
      </c>
    </row>
    <row r="190" ht="23.1" customHeight="1" spans="1:12">
      <c r="A190" s="109"/>
      <c r="B190" s="80" t="s">
        <v>248</v>
      </c>
      <c r="C190" s="63">
        <v>245</v>
      </c>
      <c r="D190" s="110"/>
      <c r="E190" s="104"/>
      <c r="F190" s="106">
        <f t="shared" si="31"/>
        <v>9.79021956087824</v>
      </c>
      <c r="G190" s="65" t="str">
        <f t="shared" si="32"/>
        <v/>
      </c>
      <c r="H190" s="66" t="str">
        <f t="shared" si="33"/>
        <v/>
      </c>
      <c r="I190" s="65">
        <f t="shared" si="34"/>
        <v>1769.44444444444</v>
      </c>
      <c r="J190" s="65" t="str">
        <f t="shared" si="35"/>
        <v/>
      </c>
      <c r="K190" s="66" t="str">
        <f t="shared" si="36"/>
        <v/>
      </c>
      <c r="L190" s="67"/>
    </row>
    <row r="191" ht="23.1" customHeight="1" spans="1:12">
      <c r="A191" s="109"/>
      <c r="B191" s="80" t="s">
        <v>249</v>
      </c>
      <c r="C191" s="63">
        <v>250</v>
      </c>
      <c r="D191" s="110"/>
      <c r="E191" s="104"/>
      <c r="F191" s="106">
        <f t="shared" si="31"/>
        <v>9.89021956087824</v>
      </c>
      <c r="G191" s="65" t="str">
        <f t="shared" si="32"/>
        <v/>
      </c>
      <c r="H191" s="66" t="str">
        <f t="shared" si="33"/>
        <v/>
      </c>
      <c r="I191" s="65">
        <f t="shared" si="34"/>
        <v>1788.88888888889</v>
      </c>
      <c r="J191" s="65" t="str">
        <f t="shared" si="35"/>
        <v/>
      </c>
      <c r="K191" s="66" t="str">
        <f t="shared" si="36"/>
        <v/>
      </c>
      <c r="L191" s="67"/>
    </row>
    <row r="192" ht="23.1" customHeight="1" spans="1:12">
      <c r="A192" s="109"/>
      <c r="B192" s="80" t="s">
        <v>250</v>
      </c>
      <c r="C192" s="63">
        <v>225</v>
      </c>
      <c r="D192" s="110"/>
      <c r="E192" s="104"/>
      <c r="F192" s="106">
        <f t="shared" si="31"/>
        <v>9.39021956087824</v>
      </c>
      <c r="G192" s="65" t="str">
        <f t="shared" si="32"/>
        <v/>
      </c>
      <c r="H192" s="66" t="str">
        <f t="shared" si="33"/>
        <v/>
      </c>
      <c r="I192" s="65">
        <f t="shared" si="34"/>
        <v>1691.66666666667</v>
      </c>
      <c r="J192" s="65" t="str">
        <f t="shared" si="35"/>
        <v/>
      </c>
      <c r="K192" s="66" t="str">
        <f t="shared" si="36"/>
        <v/>
      </c>
      <c r="L192" s="67"/>
    </row>
    <row r="193" ht="23.1" customHeight="1" spans="1:12">
      <c r="A193" s="109"/>
      <c r="B193" s="80" t="s">
        <v>251</v>
      </c>
      <c r="C193" s="63">
        <v>290</v>
      </c>
      <c r="D193" s="110"/>
      <c r="E193" s="104"/>
      <c r="F193" s="106">
        <f t="shared" si="31"/>
        <v>10.6902195608782</v>
      </c>
      <c r="G193" s="65" t="str">
        <f t="shared" si="32"/>
        <v/>
      </c>
      <c r="H193" s="66" t="str">
        <f t="shared" si="33"/>
        <v/>
      </c>
      <c r="I193" s="65">
        <f t="shared" si="34"/>
        <v>1944.44444444444</v>
      </c>
      <c r="J193" s="65" t="str">
        <f t="shared" si="35"/>
        <v/>
      </c>
      <c r="K193" s="66" t="str">
        <f t="shared" si="36"/>
        <v/>
      </c>
      <c r="L193" s="67"/>
    </row>
    <row r="194" ht="23.1" customHeight="1" spans="1:12">
      <c r="A194" s="109"/>
      <c r="B194" s="80" t="s">
        <v>252</v>
      </c>
      <c r="C194" s="63">
        <v>285</v>
      </c>
      <c r="D194" s="110"/>
      <c r="E194" s="104"/>
      <c r="F194" s="106">
        <f t="shared" si="31"/>
        <v>10.5902195608782</v>
      </c>
      <c r="G194" s="65" t="str">
        <f t="shared" si="32"/>
        <v/>
      </c>
      <c r="H194" s="66" t="str">
        <f t="shared" si="33"/>
        <v/>
      </c>
      <c r="I194" s="65">
        <f t="shared" si="34"/>
        <v>1925</v>
      </c>
      <c r="J194" s="65" t="str">
        <f t="shared" si="35"/>
        <v/>
      </c>
      <c r="K194" s="66" t="str">
        <f t="shared" si="36"/>
        <v/>
      </c>
      <c r="L194" s="67"/>
    </row>
    <row r="195" ht="23.1" customHeight="1" spans="1:12">
      <c r="A195" s="109"/>
      <c r="B195" s="80" t="s">
        <v>253</v>
      </c>
      <c r="C195" s="63">
        <v>320</v>
      </c>
      <c r="D195" s="110"/>
      <c r="E195" s="104"/>
      <c r="F195" s="106">
        <f t="shared" si="31"/>
        <v>11.2902195608782</v>
      </c>
      <c r="G195" s="65" t="str">
        <f t="shared" si="32"/>
        <v/>
      </c>
      <c r="H195" s="66" t="str">
        <f t="shared" si="33"/>
        <v/>
      </c>
      <c r="I195" s="65">
        <f t="shared" si="34"/>
        <v>2061.11111111111</v>
      </c>
      <c r="J195" s="65" t="str">
        <f t="shared" si="35"/>
        <v/>
      </c>
      <c r="K195" s="66" t="str">
        <f t="shared" si="36"/>
        <v/>
      </c>
      <c r="L195" s="67"/>
    </row>
    <row r="196" ht="23.1" customHeight="1" spans="1:12">
      <c r="A196" s="109"/>
      <c r="B196" s="80" t="s">
        <v>254</v>
      </c>
      <c r="C196" s="63">
        <v>225</v>
      </c>
      <c r="D196" s="110"/>
      <c r="E196" s="104"/>
      <c r="F196" s="106">
        <f t="shared" si="31"/>
        <v>9.39021956087824</v>
      </c>
      <c r="G196" s="65" t="str">
        <f t="shared" si="32"/>
        <v/>
      </c>
      <c r="H196" s="66" t="str">
        <f t="shared" si="33"/>
        <v/>
      </c>
      <c r="I196" s="65">
        <f t="shared" si="34"/>
        <v>1691.66666666667</v>
      </c>
      <c r="J196" s="65" t="str">
        <f t="shared" si="35"/>
        <v/>
      </c>
      <c r="K196" s="66" t="str">
        <f t="shared" si="36"/>
        <v/>
      </c>
      <c r="L196" s="67"/>
    </row>
    <row r="197" ht="23.1" customHeight="1" spans="1:12">
      <c r="A197" s="109"/>
      <c r="B197" s="80" t="s">
        <v>255</v>
      </c>
      <c r="C197" s="63">
        <v>215</v>
      </c>
      <c r="D197" s="110"/>
      <c r="E197" s="104"/>
      <c r="F197" s="106">
        <f t="shared" si="31"/>
        <v>9.19021956087824</v>
      </c>
      <c r="G197" s="65" t="str">
        <f t="shared" si="32"/>
        <v/>
      </c>
      <c r="H197" s="66" t="str">
        <f t="shared" si="33"/>
        <v/>
      </c>
      <c r="I197" s="65">
        <f t="shared" si="34"/>
        <v>1652.77777777778</v>
      </c>
      <c r="J197" s="65" t="str">
        <f t="shared" si="35"/>
        <v/>
      </c>
      <c r="K197" s="66" t="str">
        <f t="shared" si="36"/>
        <v/>
      </c>
      <c r="L197" s="67"/>
    </row>
    <row r="198" ht="23.1" customHeight="1" spans="1:12">
      <c r="A198" s="109"/>
      <c r="B198" s="80" t="s">
        <v>256</v>
      </c>
      <c r="C198" s="63">
        <v>215</v>
      </c>
      <c r="D198" s="110"/>
      <c r="E198" s="104"/>
      <c r="F198" s="106">
        <f t="shared" si="31"/>
        <v>9.19021956087824</v>
      </c>
      <c r="G198" s="65" t="str">
        <f t="shared" si="32"/>
        <v/>
      </c>
      <c r="H198" s="66" t="str">
        <f t="shared" si="33"/>
        <v/>
      </c>
      <c r="I198" s="65">
        <f t="shared" si="34"/>
        <v>1652.77777777778</v>
      </c>
      <c r="J198" s="65" t="str">
        <f t="shared" si="35"/>
        <v/>
      </c>
      <c r="K198" s="66" t="str">
        <f t="shared" si="36"/>
        <v/>
      </c>
      <c r="L198" s="67"/>
    </row>
  </sheetData>
  <mergeCells count="20">
    <mergeCell ref="B1:E1"/>
    <mergeCell ref="C7:E7"/>
    <mergeCell ref="B10:F10"/>
    <mergeCell ref="B11:F11"/>
    <mergeCell ref="B12:D12"/>
    <mergeCell ref="A1:A9"/>
    <mergeCell ref="A14:A17"/>
    <mergeCell ref="A18:A23"/>
    <mergeCell ref="A24:A32"/>
    <mergeCell ref="A33:A41"/>
    <mergeCell ref="A42:A45"/>
    <mergeCell ref="A46:A51"/>
    <mergeCell ref="A52:A71"/>
    <mergeCell ref="A72:A85"/>
    <mergeCell ref="A86:A108"/>
    <mergeCell ref="A109:A198"/>
    <mergeCell ref="B2:B6"/>
    <mergeCell ref="B7:B9"/>
    <mergeCell ref="C2:E6"/>
    <mergeCell ref="C8:E9"/>
  </mergeCells>
  <conditionalFormatting sqref="B14">
    <cfRule type="duplicateValues" dxfId="0" priority="181" stopIfTrue="1"/>
  </conditionalFormatting>
  <conditionalFormatting sqref="B15">
    <cfRule type="duplicateValues" dxfId="0" priority="180" stopIfTrue="1"/>
  </conditionalFormatting>
  <conditionalFormatting sqref="B16">
    <cfRule type="duplicateValues" dxfId="0" priority="179" stopIfTrue="1"/>
  </conditionalFormatting>
  <conditionalFormatting sqref="B17">
    <cfRule type="duplicateValues" dxfId="0" priority="178" stopIfTrue="1"/>
  </conditionalFormatting>
  <conditionalFormatting sqref="B18">
    <cfRule type="duplicateValues" dxfId="0" priority="177" stopIfTrue="1"/>
  </conditionalFormatting>
  <conditionalFormatting sqref="B19">
    <cfRule type="duplicateValues" dxfId="0" priority="176" stopIfTrue="1"/>
  </conditionalFormatting>
  <conditionalFormatting sqref="B20">
    <cfRule type="duplicateValues" dxfId="0" priority="175" stopIfTrue="1"/>
  </conditionalFormatting>
  <conditionalFormatting sqref="B21">
    <cfRule type="duplicateValues" dxfId="0" priority="174" stopIfTrue="1"/>
  </conditionalFormatting>
  <conditionalFormatting sqref="B22">
    <cfRule type="duplicateValues" dxfId="0" priority="173" stopIfTrue="1"/>
  </conditionalFormatting>
  <conditionalFormatting sqref="B23">
    <cfRule type="duplicateValues" dxfId="0" priority="172" stopIfTrue="1"/>
  </conditionalFormatting>
  <conditionalFormatting sqref="B24">
    <cfRule type="duplicateValues" dxfId="0" priority="171" stopIfTrue="1"/>
  </conditionalFormatting>
  <conditionalFormatting sqref="B25">
    <cfRule type="duplicateValues" dxfId="0" priority="87" stopIfTrue="1"/>
  </conditionalFormatting>
  <conditionalFormatting sqref="B27">
    <cfRule type="duplicateValues" dxfId="0" priority="169" stopIfTrue="1"/>
  </conditionalFormatting>
  <conditionalFormatting sqref="B28">
    <cfRule type="duplicateValues" dxfId="0" priority="168" stopIfTrue="1"/>
  </conditionalFormatting>
  <conditionalFormatting sqref="B29">
    <cfRule type="duplicateValues" dxfId="0" priority="167" stopIfTrue="1"/>
  </conditionalFormatting>
  <conditionalFormatting sqref="B30">
    <cfRule type="duplicateValues" dxfId="0" priority="166" stopIfTrue="1"/>
  </conditionalFormatting>
  <conditionalFormatting sqref="B31">
    <cfRule type="duplicateValues" dxfId="0" priority="165" stopIfTrue="1"/>
  </conditionalFormatting>
  <conditionalFormatting sqref="B32">
    <cfRule type="duplicateValues" dxfId="0" priority="164" stopIfTrue="1"/>
  </conditionalFormatting>
  <conditionalFormatting sqref="B33">
    <cfRule type="duplicateValues" dxfId="0" priority="163" stopIfTrue="1"/>
  </conditionalFormatting>
  <conditionalFormatting sqref="B38">
    <cfRule type="duplicateValues" dxfId="0" priority="160" stopIfTrue="1"/>
  </conditionalFormatting>
  <conditionalFormatting sqref="B39">
    <cfRule type="duplicateValues" dxfId="0" priority="159" stopIfTrue="1"/>
  </conditionalFormatting>
  <conditionalFormatting sqref="B40">
    <cfRule type="duplicateValues" dxfId="0" priority="158" stopIfTrue="1"/>
  </conditionalFormatting>
  <conditionalFormatting sqref="B41">
    <cfRule type="duplicateValues" dxfId="0" priority="157" stopIfTrue="1"/>
  </conditionalFormatting>
  <conditionalFormatting sqref="B42">
    <cfRule type="duplicateValues" dxfId="0" priority="156" stopIfTrue="1"/>
  </conditionalFormatting>
  <conditionalFormatting sqref="B43">
    <cfRule type="duplicateValues" dxfId="0" priority="155" stopIfTrue="1"/>
  </conditionalFormatting>
  <conditionalFormatting sqref="B44">
    <cfRule type="duplicateValues" dxfId="0" priority="154" stopIfTrue="1"/>
  </conditionalFormatting>
  <conditionalFormatting sqref="B45">
    <cfRule type="duplicateValues" dxfId="0" priority="153" stopIfTrue="1"/>
  </conditionalFormatting>
  <conditionalFormatting sqref="B46">
    <cfRule type="duplicateValues" dxfId="0" priority="152" stopIfTrue="1"/>
  </conditionalFormatting>
  <conditionalFormatting sqref="B47">
    <cfRule type="duplicateValues" dxfId="0" priority="151" stopIfTrue="1"/>
  </conditionalFormatting>
  <conditionalFormatting sqref="B48">
    <cfRule type="duplicateValues" dxfId="0" priority="150" stopIfTrue="1"/>
  </conditionalFormatting>
  <conditionalFormatting sqref="B49">
    <cfRule type="duplicateValues" dxfId="0" priority="149" stopIfTrue="1"/>
  </conditionalFormatting>
  <conditionalFormatting sqref="B50">
    <cfRule type="duplicateValues" dxfId="0" priority="148" stopIfTrue="1"/>
  </conditionalFormatting>
  <conditionalFormatting sqref="B51">
    <cfRule type="duplicateValues" dxfId="0" priority="147" stopIfTrue="1"/>
  </conditionalFormatting>
  <conditionalFormatting sqref="B52">
    <cfRule type="duplicateValues" dxfId="0" priority="146" stopIfTrue="1"/>
  </conditionalFormatting>
  <conditionalFormatting sqref="B53">
    <cfRule type="duplicateValues" dxfId="0" priority="145" stopIfTrue="1"/>
  </conditionalFormatting>
  <conditionalFormatting sqref="B54">
    <cfRule type="duplicateValues" dxfId="0" priority="144" stopIfTrue="1"/>
  </conditionalFormatting>
  <conditionalFormatting sqref="B55">
    <cfRule type="duplicateValues" dxfId="0" priority="143" stopIfTrue="1"/>
  </conditionalFormatting>
  <conditionalFormatting sqref="B56">
    <cfRule type="duplicateValues" dxfId="0" priority="142" stopIfTrue="1"/>
  </conditionalFormatting>
  <conditionalFormatting sqref="B57">
    <cfRule type="duplicateValues" dxfId="0" priority="141" stopIfTrue="1"/>
  </conditionalFormatting>
  <conditionalFormatting sqref="B58">
    <cfRule type="duplicateValues" dxfId="0" priority="140" stopIfTrue="1"/>
  </conditionalFormatting>
  <conditionalFormatting sqref="B59">
    <cfRule type="duplicateValues" dxfId="0" priority="139" stopIfTrue="1"/>
  </conditionalFormatting>
  <conditionalFormatting sqref="B60">
    <cfRule type="duplicateValues" dxfId="0" priority="138" stopIfTrue="1"/>
  </conditionalFormatting>
  <conditionalFormatting sqref="B61">
    <cfRule type="duplicateValues" dxfId="0" priority="137" stopIfTrue="1"/>
  </conditionalFormatting>
  <conditionalFormatting sqref="B62">
    <cfRule type="duplicateValues" dxfId="0" priority="136" stopIfTrue="1"/>
  </conditionalFormatting>
  <conditionalFormatting sqref="B63">
    <cfRule type="duplicateValues" dxfId="0" priority="135" stopIfTrue="1"/>
  </conditionalFormatting>
  <conditionalFormatting sqref="B64">
    <cfRule type="duplicateValues" dxfId="0" priority="134" stopIfTrue="1"/>
  </conditionalFormatting>
  <conditionalFormatting sqref="B65">
    <cfRule type="duplicateValues" dxfId="0" priority="133" stopIfTrue="1"/>
  </conditionalFormatting>
  <conditionalFormatting sqref="B66">
    <cfRule type="duplicateValues" dxfId="0" priority="132" stopIfTrue="1"/>
  </conditionalFormatting>
  <conditionalFormatting sqref="B67">
    <cfRule type="duplicateValues" dxfId="0" priority="131" stopIfTrue="1"/>
  </conditionalFormatting>
  <conditionalFormatting sqref="B68">
    <cfRule type="duplicateValues" dxfId="0" priority="130" stopIfTrue="1"/>
  </conditionalFormatting>
  <conditionalFormatting sqref="B69">
    <cfRule type="duplicateValues" dxfId="0" priority="129" stopIfTrue="1"/>
  </conditionalFormatting>
  <conditionalFormatting sqref="B70">
    <cfRule type="duplicateValues" dxfId="0" priority="128" stopIfTrue="1"/>
  </conditionalFormatting>
  <conditionalFormatting sqref="B71">
    <cfRule type="duplicateValues" dxfId="0" priority="127" stopIfTrue="1"/>
  </conditionalFormatting>
  <conditionalFormatting sqref="B72">
    <cfRule type="duplicateValues" dxfId="0" priority="126" stopIfTrue="1"/>
  </conditionalFormatting>
  <conditionalFormatting sqref="B73">
    <cfRule type="duplicateValues" dxfId="0" priority="125" stopIfTrue="1"/>
  </conditionalFormatting>
  <conditionalFormatting sqref="B74">
    <cfRule type="duplicateValues" dxfId="0" priority="124" stopIfTrue="1"/>
  </conditionalFormatting>
  <conditionalFormatting sqref="B75">
    <cfRule type="duplicateValues" dxfId="0" priority="123" stopIfTrue="1"/>
  </conditionalFormatting>
  <conditionalFormatting sqref="B76">
    <cfRule type="duplicateValues" dxfId="0" priority="122" stopIfTrue="1"/>
  </conditionalFormatting>
  <conditionalFormatting sqref="B77">
    <cfRule type="duplicateValues" dxfId="0" priority="121" stopIfTrue="1"/>
  </conditionalFormatting>
  <conditionalFormatting sqref="B78">
    <cfRule type="duplicateValues" dxfId="0" priority="120" stopIfTrue="1"/>
  </conditionalFormatting>
  <conditionalFormatting sqref="B79">
    <cfRule type="duplicateValues" dxfId="0" priority="119" stopIfTrue="1"/>
  </conditionalFormatting>
  <conditionalFormatting sqref="B80">
    <cfRule type="duplicateValues" dxfId="0" priority="118" stopIfTrue="1"/>
  </conditionalFormatting>
  <conditionalFormatting sqref="B81">
    <cfRule type="duplicateValues" dxfId="0" priority="117" stopIfTrue="1"/>
  </conditionalFormatting>
  <conditionalFormatting sqref="B82">
    <cfRule type="duplicateValues" dxfId="0" priority="116" stopIfTrue="1"/>
  </conditionalFormatting>
  <conditionalFormatting sqref="B83">
    <cfRule type="duplicateValues" dxfId="0" priority="115" stopIfTrue="1"/>
  </conditionalFormatting>
  <conditionalFormatting sqref="B84">
    <cfRule type="duplicateValues" dxfId="0" priority="114" stopIfTrue="1"/>
  </conditionalFormatting>
  <conditionalFormatting sqref="B85">
    <cfRule type="duplicateValues" dxfId="0" priority="113" stopIfTrue="1"/>
  </conditionalFormatting>
  <conditionalFormatting sqref="B86">
    <cfRule type="duplicateValues" dxfId="0" priority="112" stopIfTrue="1"/>
  </conditionalFormatting>
  <conditionalFormatting sqref="B87">
    <cfRule type="duplicateValues" dxfId="0" priority="111" stopIfTrue="1"/>
  </conditionalFormatting>
  <conditionalFormatting sqref="B88">
    <cfRule type="duplicateValues" dxfId="0" priority="110" stopIfTrue="1"/>
  </conditionalFormatting>
  <conditionalFormatting sqref="B89">
    <cfRule type="duplicateValues" dxfId="0" priority="109" stopIfTrue="1"/>
  </conditionalFormatting>
  <conditionalFormatting sqref="B90">
    <cfRule type="duplicateValues" dxfId="0" priority="108" stopIfTrue="1"/>
  </conditionalFormatting>
  <conditionalFormatting sqref="B91">
    <cfRule type="duplicateValues" dxfId="0" priority="107" stopIfTrue="1"/>
  </conditionalFormatting>
  <conditionalFormatting sqref="B92">
    <cfRule type="duplicateValues" dxfId="0" priority="106" stopIfTrue="1"/>
  </conditionalFormatting>
  <conditionalFormatting sqref="B93">
    <cfRule type="duplicateValues" dxfId="0" priority="105" stopIfTrue="1"/>
  </conditionalFormatting>
  <conditionalFormatting sqref="B94">
    <cfRule type="duplicateValues" dxfId="0" priority="104" stopIfTrue="1"/>
  </conditionalFormatting>
  <conditionalFormatting sqref="B95">
    <cfRule type="duplicateValues" dxfId="0" priority="103" stopIfTrue="1"/>
  </conditionalFormatting>
  <conditionalFormatting sqref="B96">
    <cfRule type="duplicateValues" dxfId="0" priority="102" stopIfTrue="1"/>
  </conditionalFormatting>
  <conditionalFormatting sqref="B97">
    <cfRule type="duplicateValues" dxfId="0" priority="101" stopIfTrue="1"/>
  </conditionalFormatting>
  <conditionalFormatting sqref="B98">
    <cfRule type="duplicateValues" dxfId="0" priority="100" stopIfTrue="1"/>
  </conditionalFormatting>
  <conditionalFormatting sqref="B99">
    <cfRule type="duplicateValues" dxfId="0" priority="99" stopIfTrue="1"/>
  </conditionalFormatting>
  <conditionalFormatting sqref="B100">
    <cfRule type="duplicateValues" dxfId="0" priority="98" stopIfTrue="1"/>
  </conditionalFormatting>
  <conditionalFormatting sqref="B101">
    <cfRule type="duplicateValues" dxfId="0" priority="97" stopIfTrue="1"/>
  </conditionalFormatting>
  <conditionalFormatting sqref="B102">
    <cfRule type="duplicateValues" dxfId="0" priority="96" stopIfTrue="1"/>
  </conditionalFormatting>
  <conditionalFormatting sqref="B103">
    <cfRule type="duplicateValues" dxfId="0" priority="95" stopIfTrue="1"/>
  </conditionalFormatting>
  <conditionalFormatting sqref="B104">
    <cfRule type="duplicateValues" dxfId="0" priority="94" stopIfTrue="1"/>
  </conditionalFormatting>
  <conditionalFormatting sqref="B105">
    <cfRule type="duplicateValues" dxfId="0" priority="93" stopIfTrue="1"/>
  </conditionalFormatting>
  <conditionalFormatting sqref="B106">
    <cfRule type="duplicateValues" dxfId="0" priority="92" stopIfTrue="1"/>
  </conditionalFormatting>
  <conditionalFormatting sqref="B107">
    <cfRule type="duplicateValues" dxfId="0" priority="91" stopIfTrue="1"/>
  </conditionalFormatting>
  <conditionalFormatting sqref="B108">
    <cfRule type="duplicateValues" dxfId="0" priority="90" stopIfTrue="1"/>
  </conditionalFormatting>
  <conditionalFormatting sqref="B109">
    <cfRule type="duplicateValues" dxfId="0" priority="89" stopIfTrue="1"/>
  </conditionalFormatting>
  <conditionalFormatting sqref="B112">
    <cfRule type="duplicateValues" dxfId="0" priority="86" stopIfTrue="1"/>
  </conditionalFormatting>
  <conditionalFormatting sqref="B113">
    <cfRule type="duplicateValues" dxfId="0" priority="85" stopIfTrue="1"/>
  </conditionalFormatting>
  <conditionalFormatting sqref="B114">
    <cfRule type="duplicateValues" dxfId="0" priority="84" stopIfTrue="1"/>
  </conditionalFormatting>
  <conditionalFormatting sqref="B115">
    <cfRule type="duplicateValues" dxfId="0" priority="83" stopIfTrue="1"/>
  </conditionalFormatting>
  <conditionalFormatting sqref="B116">
    <cfRule type="duplicateValues" dxfId="0" priority="82" stopIfTrue="1"/>
  </conditionalFormatting>
  <conditionalFormatting sqref="B120">
    <cfRule type="duplicateValues" dxfId="0" priority="80" stopIfTrue="1"/>
  </conditionalFormatting>
  <conditionalFormatting sqref="B121">
    <cfRule type="duplicateValues" dxfId="0" priority="79" stopIfTrue="1"/>
  </conditionalFormatting>
  <conditionalFormatting sqref="B122">
    <cfRule type="duplicateValues" dxfId="0" priority="78" stopIfTrue="1"/>
  </conditionalFormatting>
  <conditionalFormatting sqref="B123">
    <cfRule type="duplicateValues" dxfId="0" priority="77" stopIfTrue="1"/>
  </conditionalFormatting>
  <conditionalFormatting sqref="B124">
    <cfRule type="duplicateValues" dxfId="0" priority="76" stopIfTrue="1"/>
  </conditionalFormatting>
  <conditionalFormatting sqref="B125">
    <cfRule type="duplicateValues" dxfId="0" priority="75" stopIfTrue="1"/>
  </conditionalFormatting>
  <conditionalFormatting sqref="B126">
    <cfRule type="duplicateValues" dxfId="0" priority="74" stopIfTrue="1"/>
  </conditionalFormatting>
  <conditionalFormatting sqref="B127">
    <cfRule type="duplicateValues" dxfId="0" priority="73" stopIfTrue="1"/>
  </conditionalFormatting>
  <conditionalFormatting sqref="B128">
    <cfRule type="duplicateValues" dxfId="0" priority="72" stopIfTrue="1"/>
  </conditionalFormatting>
  <conditionalFormatting sqref="B129">
    <cfRule type="duplicateValues" dxfId="0" priority="71" stopIfTrue="1"/>
  </conditionalFormatting>
  <conditionalFormatting sqref="B130">
    <cfRule type="duplicateValues" dxfId="0" priority="70" stopIfTrue="1"/>
  </conditionalFormatting>
  <conditionalFormatting sqref="B131">
    <cfRule type="duplicateValues" dxfId="0" priority="69" stopIfTrue="1"/>
  </conditionalFormatting>
  <conditionalFormatting sqref="B132">
    <cfRule type="duplicateValues" dxfId="0" priority="68" stopIfTrue="1"/>
  </conditionalFormatting>
  <conditionalFormatting sqref="B133">
    <cfRule type="duplicateValues" dxfId="0" priority="67" stopIfTrue="1"/>
  </conditionalFormatting>
  <conditionalFormatting sqref="B134">
    <cfRule type="duplicateValues" dxfId="0" priority="66" stopIfTrue="1"/>
  </conditionalFormatting>
  <conditionalFormatting sqref="B135">
    <cfRule type="duplicateValues" dxfId="0" priority="65" stopIfTrue="1"/>
  </conditionalFormatting>
  <conditionalFormatting sqref="B136">
    <cfRule type="duplicateValues" dxfId="0" priority="64" stopIfTrue="1"/>
  </conditionalFormatting>
  <conditionalFormatting sqref="B137">
    <cfRule type="duplicateValues" dxfId="0" priority="63" stopIfTrue="1"/>
  </conditionalFormatting>
  <conditionalFormatting sqref="B138">
    <cfRule type="duplicateValues" dxfId="0" priority="62" stopIfTrue="1"/>
  </conditionalFormatting>
  <conditionalFormatting sqref="B139">
    <cfRule type="duplicateValues" dxfId="0" priority="61" stopIfTrue="1"/>
  </conditionalFormatting>
  <conditionalFormatting sqref="B140">
    <cfRule type="duplicateValues" dxfId="0" priority="60" stopIfTrue="1"/>
  </conditionalFormatting>
  <conditionalFormatting sqref="B141">
    <cfRule type="duplicateValues" dxfId="0" priority="59" stopIfTrue="1"/>
  </conditionalFormatting>
  <conditionalFormatting sqref="B142">
    <cfRule type="duplicateValues" dxfId="0" priority="58" stopIfTrue="1"/>
  </conditionalFormatting>
  <conditionalFormatting sqref="B143">
    <cfRule type="duplicateValues" dxfId="0" priority="57" stopIfTrue="1"/>
  </conditionalFormatting>
  <conditionalFormatting sqref="B144">
    <cfRule type="duplicateValues" dxfId="0" priority="56" stopIfTrue="1"/>
  </conditionalFormatting>
  <conditionalFormatting sqref="B145">
    <cfRule type="duplicateValues" dxfId="0" priority="55" stopIfTrue="1"/>
  </conditionalFormatting>
  <conditionalFormatting sqref="B146">
    <cfRule type="duplicateValues" dxfId="0" priority="54" stopIfTrue="1"/>
  </conditionalFormatting>
  <conditionalFormatting sqref="B147">
    <cfRule type="duplicateValues" dxfId="0" priority="53" stopIfTrue="1"/>
  </conditionalFormatting>
  <conditionalFormatting sqref="B148">
    <cfRule type="duplicateValues" dxfId="0" priority="52" stopIfTrue="1"/>
  </conditionalFormatting>
  <conditionalFormatting sqref="B149">
    <cfRule type="duplicateValues" dxfId="0" priority="51" stopIfTrue="1"/>
  </conditionalFormatting>
  <conditionalFormatting sqref="B150">
    <cfRule type="duplicateValues" dxfId="0" priority="50" stopIfTrue="1"/>
  </conditionalFormatting>
  <conditionalFormatting sqref="B151">
    <cfRule type="duplicateValues" dxfId="0" priority="49" stopIfTrue="1"/>
  </conditionalFormatting>
  <conditionalFormatting sqref="B152">
    <cfRule type="duplicateValues" dxfId="0" priority="48" stopIfTrue="1"/>
  </conditionalFormatting>
  <conditionalFormatting sqref="B153">
    <cfRule type="duplicateValues" dxfId="0" priority="47" stopIfTrue="1"/>
  </conditionalFormatting>
  <conditionalFormatting sqref="B154">
    <cfRule type="duplicateValues" dxfId="0" priority="46" stopIfTrue="1"/>
  </conditionalFormatting>
  <conditionalFormatting sqref="B155">
    <cfRule type="duplicateValues" dxfId="0" priority="45" stopIfTrue="1"/>
  </conditionalFormatting>
  <conditionalFormatting sqref="B156">
    <cfRule type="duplicateValues" dxfId="0" priority="44" stopIfTrue="1"/>
  </conditionalFormatting>
  <conditionalFormatting sqref="B157">
    <cfRule type="duplicateValues" dxfId="0" priority="43" stopIfTrue="1"/>
  </conditionalFormatting>
  <conditionalFormatting sqref="B158">
    <cfRule type="duplicateValues" dxfId="0" priority="42" stopIfTrue="1"/>
  </conditionalFormatting>
  <conditionalFormatting sqref="B159">
    <cfRule type="duplicateValues" dxfId="0" priority="41" stopIfTrue="1"/>
  </conditionalFormatting>
  <conditionalFormatting sqref="B160">
    <cfRule type="duplicateValues" dxfId="0" priority="40" stopIfTrue="1"/>
  </conditionalFormatting>
  <conditionalFormatting sqref="B161">
    <cfRule type="duplicateValues" dxfId="0" priority="39" stopIfTrue="1"/>
  </conditionalFormatting>
  <conditionalFormatting sqref="B162">
    <cfRule type="duplicateValues" dxfId="0" priority="38" stopIfTrue="1"/>
  </conditionalFormatting>
  <conditionalFormatting sqref="B163">
    <cfRule type="duplicateValues" dxfId="0" priority="37" stopIfTrue="1"/>
  </conditionalFormatting>
  <conditionalFormatting sqref="B164">
    <cfRule type="duplicateValues" dxfId="0" priority="36" stopIfTrue="1"/>
  </conditionalFormatting>
  <conditionalFormatting sqref="B165">
    <cfRule type="duplicateValues" dxfId="0" priority="35" stopIfTrue="1"/>
  </conditionalFormatting>
  <conditionalFormatting sqref="B166">
    <cfRule type="duplicateValues" dxfId="0" priority="34" stopIfTrue="1"/>
  </conditionalFormatting>
  <conditionalFormatting sqref="B167">
    <cfRule type="duplicateValues" dxfId="0" priority="33" stopIfTrue="1"/>
  </conditionalFormatting>
  <conditionalFormatting sqref="B168">
    <cfRule type="duplicateValues" dxfId="0" priority="32" stopIfTrue="1"/>
  </conditionalFormatting>
  <conditionalFormatting sqref="B169">
    <cfRule type="duplicateValues" dxfId="0" priority="31" stopIfTrue="1"/>
  </conditionalFormatting>
  <conditionalFormatting sqref="B170">
    <cfRule type="duplicateValues" dxfId="0" priority="30" stopIfTrue="1"/>
  </conditionalFormatting>
  <conditionalFormatting sqref="B171">
    <cfRule type="duplicateValues" dxfId="0" priority="29" stopIfTrue="1"/>
  </conditionalFormatting>
  <conditionalFormatting sqref="B172">
    <cfRule type="duplicateValues" dxfId="0" priority="28" stopIfTrue="1"/>
  </conditionalFormatting>
  <conditionalFormatting sqref="B173">
    <cfRule type="duplicateValues" dxfId="0" priority="27" stopIfTrue="1"/>
  </conditionalFormatting>
  <conditionalFormatting sqref="B174">
    <cfRule type="duplicateValues" dxfId="0" priority="26" stopIfTrue="1"/>
  </conditionalFormatting>
  <conditionalFormatting sqref="B175">
    <cfRule type="duplicateValues" dxfId="0" priority="25" stopIfTrue="1"/>
  </conditionalFormatting>
  <conditionalFormatting sqref="B176">
    <cfRule type="duplicateValues" dxfId="0" priority="24" stopIfTrue="1"/>
  </conditionalFormatting>
  <conditionalFormatting sqref="B177">
    <cfRule type="duplicateValues" dxfId="0" priority="23" stopIfTrue="1"/>
  </conditionalFormatting>
  <conditionalFormatting sqref="B178">
    <cfRule type="duplicateValues" dxfId="0" priority="22" stopIfTrue="1"/>
  </conditionalFormatting>
  <conditionalFormatting sqref="B179">
    <cfRule type="duplicateValues" dxfId="0" priority="21" stopIfTrue="1"/>
  </conditionalFormatting>
  <conditionalFormatting sqref="B180">
    <cfRule type="duplicateValues" dxfId="0" priority="20" stopIfTrue="1"/>
  </conditionalFormatting>
  <conditionalFormatting sqref="B181">
    <cfRule type="duplicateValues" dxfId="0" priority="19" stopIfTrue="1"/>
  </conditionalFormatting>
  <conditionalFormatting sqref="B182">
    <cfRule type="duplicateValues" dxfId="0" priority="18" stopIfTrue="1"/>
  </conditionalFormatting>
  <conditionalFormatting sqref="B183">
    <cfRule type="duplicateValues" dxfId="0" priority="17" stopIfTrue="1"/>
  </conditionalFormatting>
  <conditionalFormatting sqref="B184">
    <cfRule type="duplicateValues" dxfId="0" priority="16" stopIfTrue="1"/>
  </conditionalFormatting>
  <conditionalFormatting sqref="B185">
    <cfRule type="duplicateValues" dxfId="0" priority="15" stopIfTrue="1"/>
  </conditionalFormatting>
  <conditionalFormatting sqref="B186">
    <cfRule type="duplicateValues" dxfId="0" priority="14" stopIfTrue="1"/>
  </conditionalFormatting>
  <conditionalFormatting sqref="B187">
    <cfRule type="duplicateValues" dxfId="0" priority="13" stopIfTrue="1"/>
  </conditionalFormatting>
  <conditionalFormatting sqref="B188">
    <cfRule type="duplicateValues" dxfId="0" priority="12" stopIfTrue="1"/>
  </conditionalFormatting>
  <conditionalFormatting sqref="B189">
    <cfRule type="duplicateValues" dxfId="0" priority="11" stopIfTrue="1"/>
  </conditionalFormatting>
  <conditionalFormatting sqref="B190">
    <cfRule type="duplicateValues" dxfId="0" priority="10" stopIfTrue="1"/>
  </conditionalFormatting>
  <conditionalFormatting sqref="B191">
    <cfRule type="duplicateValues" dxfId="0" priority="9" stopIfTrue="1"/>
  </conditionalFormatting>
  <conditionalFormatting sqref="B192">
    <cfRule type="duplicateValues" dxfId="0" priority="8" stopIfTrue="1"/>
  </conditionalFormatting>
  <conditionalFormatting sqref="B193">
    <cfRule type="duplicateValues" dxfId="0" priority="7" stopIfTrue="1"/>
  </conditionalFormatting>
  <conditionalFormatting sqref="B194">
    <cfRule type="duplicateValues" dxfId="0" priority="6" stopIfTrue="1"/>
  </conditionalFormatting>
  <conditionalFormatting sqref="B195">
    <cfRule type="duplicateValues" dxfId="0" priority="5" stopIfTrue="1"/>
  </conditionalFormatting>
  <conditionalFormatting sqref="B196">
    <cfRule type="duplicateValues" dxfId="0" priority="4" stopIfTrue="1"/>
  </conditionalFormatting>
  <conditionalFormatting sqref="B197">
    <cfRule type="duplicateValues" dxfId="0" priority="3" stopIfTrue="1"/>
  </conditionalFormatting>
  <conditionalFormatting sqref="B198">
    <cfRule type="duplicateValues" dxfId="0" priority="2" stopIfTrue="1"/>
  </conditionalFormatting>
  <conditionalFormatting sqref="B25:B26">
    <cfRule type="duplicateValues" dxfId="0" priority="170" stopIfTrue="1"/>
  </conditionalFormatting>
  <conditionalFormatting sqref="B34:B35">
    <cfRule type="duplicateValues" dxfId="0" priority="162" stopIfTrue="1"/>
  </conditionalFormatting>
  <conditionalFormatting sqref="B36:B37">
    <cfRule type="duplicateValues" dxfId="0" priority="161" stopIfTrue="1"/>
  </conditionalFormatting>
  <conditionalFormatting sqref="B110:B111">
    <cfRule type="duplicateValues" dxfId="0" priority="88" stopIfTrue="1"/>
  </conditionalFormatting>
  <conditionalFormatting sqref="B117:B119">
    <cfRule type="duplicateValues" dxfId="0" priority="81" stopIfTrue="1"/>
  </conditionalFormatting>
  <pageMargins left="0.7" right="0.7" top="0.75" bottom="0.75" header="0.3" footer="0.3"/>
  <headerFooter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0"/>
  <sheetViews>
    <sheetView workbookViewId="0">
      <pane ySplit="13" topLeftCell="A14" activePane="bottomLeft" state="frozen"/>
      <selection/>
      <selection pane="bottomLeft" activeCell="D14" sqref="D14"/>
    </sheetView>
  </sheetViews>
  <sheetFormatPr defaultColWidth="14" defaultRowHeight="12.75"/>
  <cols>
    <col min="1" max="1" width="18" customWidth="1"/>
    <col min="2" max="2" width="27" customWidth="1"/>
    <col min="3" max="8" width="14" customWidth="1"/>
    <col min="9" max="9" width="17" customWidth="1"/>
    <col min="10" max="11" width="14" customWidth="1"/>
    <col min="12" max="12" width="20" customWidth="1"/>
    <col min="13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267</v>
      </c>
      <c r="C1" s="20"/>
      <c r="D1" s="20"/>
      <c r="E1" s="21"/>
      <c r="F1" s="86" t="s">
        <v>2</v>
      </c>
      <c r="G1" s="86" t="s">
        <v>3</v>
      </c>
      <c r="H1" s="87" t="s">
        <v>4</v>
      </c>
      <c r="I1" s="86" t="s">
        <v>5</v>
      </c>
      <c r="J1" s="88" t="s">
        <v>6</v>
      </c>
      <c r="K1" s="87" t="s">
        <v>7</v>
      </c>
      <c r="L1" s="89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73"/>
      <c r="B2" s="24" t="s">
        <v>14</v>
      </c>
      <c r="C2" s="27" t="s">
        <v>15</v>
      </c>
      <c r="D2" s="28"/>
      <c r="E2" s="29"/>
      <c r="F2" s="86" t="s">
        <v>16</v>
      </c>
      <c r="G2" s="86" t="s">
        <v>17</v>
      </c>
      <c r="H2" s="90">
        <v>500</v>
      </c>
      <c r="I2" s="86">
        <v>1</v>
      </c>
      <c r="J2" s="88"/>
      <c r="K2" s="87"/>
      <c r="L2" s="89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73"/>
      <c r="B3" s="24"/>
      <c r="C3" s="31"/>
      <c r="D3" s="32"/>
      <c r="E3" s="33"/>
      <c r="F3" s="86" t="s">
        <v>18</v>
      </c>
      <c r="G3" s="86" t="s">
        <v>17</v>
      </c>
      <c r="H3" s="91">
        <v>1950</v>
      </c>
      <c r="I3" s="86">
        <v>1</v>
      </c>
      <c r="J3" s="88"/>
      <c r="K3" s="87"/>
      <c r="L3" s="89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73"/>
      <c r="B4" s="24"/>
      <c r="C4" s="31"/>
      <c r="D4" s="32"/>
      <c r="E4" s="33"/>
      <c r="F4" s="92" t="s">
        <v>19</v>
      </c>
      <c r="G4" s="86" t="s">
        <v>17</v>
      </c>
      <c r="H4" s="90">
        <v>500</v>
      </c>
      <c r="I4" s="86">
        <v>0</v>
      </c>
      <c r="J4" s="88" t="s">
        <v>259</v>
      </c>
      <c r="K4" s="87" t="s">
        <v>260</v>
      </c>
      <c r="L4" s="89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73"/>
      <c r="B5" s="24"/>
      <c r="C5" s="31"/>
      <c r="D5" s="32"/>
      <c r="E5" s="33"/>
      <c r="F5" s="86" t="s">
        <v>20</v>
      </c>
      <c r="G5" s="86" t="s">
        <v>17</v>
      </c>
      <c r="H5" s="90">
        <v>3000</v>
      </c>
      <c r="I5" s="86">
        <v>1</v>
      </c>
      <c r="J5" s="88"/>
      <c r="K5" s="87"/>
      <c r="L5" s="89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73"/>
      <c r="B6" s="24"/>
      <c r="C6" s="36"/>
      <c r="D6" s="37"/>
      <c r="E6" s="38"/>
      <c r="F6" s="22" t="s">
        <v>21</v>
      </c>
      <c r="G6" s="22" t="s">
        <v>22</v>
      </c>
      <c r="H6" s="39">
        <v>2850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73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1400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73"/>
      <c r="B8" s="24"/>
      <c r="C8" s="27" t="s">
        <v>26</v>
      </c>
      <c r="D8" s="28"/>
      <c r="E8" s="29"/>
      <c r="F8" s="93" t="s">
        <v>27</v>
      </c>
      <c r="G8" s="93" t="s">
        <v>22</v>
      </c>
      <c r="H8" s="94"/>
      <c r="I8" s="93">
        <v>1</v>
      </c>
      <c r="J8" s="95"/>
      <c r="K8" s="96"/>
      <c r="L8" s="97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73"/>
      <c r="B9" s="24"/>
      <c r="C9" s="36"/>
      <c r="D9" s="37"/>
      <c r="E9" s="38"/>
      <c r="F9" s="93" t="s">
        <v>28</v>
      </c>
      <c r="G9" s="93" t="s">
        <v>22</v>
      </c>
      <c r="H9" s="98">
        <v>1300</v>
      </c>
      <c r="I9" s="93">
        <v>1</v>
      </c>
      <c r="J9" s="95"/>
      <c r="K9" s="96"/>
      <c r="L9" s="97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268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5950</v>
      </c>
      <c r="I10" s="24" t="s">
        <v>32</v>
      </c>
      <c r="J10" s="24">
        <v>7</v>
      </c>
      <c r="K10" s="41">
        <f>H10/J10</f>
        <v>850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5550</v>
      </c>
      <c r="I11" s="24" t="s">
        <v>35</v>
      </c>
      <c r="J11" s="47">
        <f>H11+K10</f>
        <v>6400</v>
      </c>
      <c r="K11" s="48">
        <f>J11*J10</f>
        <v>44800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597.333333333333</v>
      </c>
      <c r="G12" s="22" t="s">
        <v>39</v>
      </c>
      <c r="H12" s="53">
        <f>B12*167</f>
        <v>12525</v>
      </c>
      <c r="I12" s="24" t="s">
        <v>40</v>
      </c>
      <c r="J12" s="54">
        <f>F12/167</f>
        <v>3.57684630738523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99"/>
      <c r="B13" s="100" t="s">
        <v>41</v>
      </c>
      <c r="C13" s="101" t="s">
        <v>42</v>
      </c>
      <c r="D13" s="101" t="s">
        <v>43</v>
      </c>
      <c r="E13" s="101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102" t="s">
        <v>269</v>
      </c>
      <c r="B14" s="103" t="s">
        <v>65</v>
      </c>
      <c r="C14" s="104">
        <v>30</v>
      </c>
      <c r="D14" s="105">
        <v>1900</v>
      </c>
      <c r="E14" s="104">
        <v>1350</v>
      </c>
      <c r="F14" s="106">
        <f t="shared" ref="F14:F45" si="0">$J$12+(C14*$J$10/$L$10)</f>
        <v>4.17684630738523</v>
      </c>
      <c r="G14" s="65">
        <f t="shared" ref="G14:G45" si="1">IF(D14="","",($J$11-$H$7+D14)*$J$10/$H$12)</f>
        <v>3.8562874251497</v>
      </c>
      <c r="H14" s="66">
        <f t="shared" ref="H14:H45" si="2">IF(E14="","",($J$11-$H$7+E14)*$J$10/$H$12)</f>
        <v>3.54890219560878</v>
      </c>
      <c r="I14" s="65">
        <f t="shared" ref="I14:I45" si="3">$F$12+(C14*$J$10/$L$12)</f>
        <v>714</v>
      </c>
      <c r="J14" s="65">
        <f t="shared" ref="J14:J45" si="4">IF(D14="","",($J$11-$H$7+D14)*$J$10/$B$12)</f>
        <v>644</v>
      </c>
      <c r="K14" s="66">
        <f t="shared" ref="K14:K45" si="5">IF(E14="","",($J$11-$H$7+E14)*$J$10/$B$12)</f>
        <v>592.666666666667</v>
      </c>
      <c r="L14" s="67">
        <v>4.8</v>
      </c>
    </row>
    <row r="15" ht="23.1" customHeight="1" spans="1:20">
      <c r="A15" s="102"/>
      <c r="B15" s="103" t="s">
        <v>66</v>
      </c>
      <c r="C15" s="104">
        <v>30</v>
      </c>
      <c r="D15" s="105">
        <v>1900</v>
      </c>
      <c r="E15" s="104">
        <v>1350</v>
      </c>
      <c r="F15" s="106">
        <f t="shared" si="0"/>
        <v>4.17684630738523</v>
      </c>
      <c r="G15" s="65">
        <f t="shared" si="1"/>
        <v>3.8562874251497</v>
      </c>
      <c r="H15" s="66">
        <f t="shared" si="2"/>
        <v>3.54890219560878</v>
      </c>
      <c r="I15" s="65">
        <f t="shared" si="3"/>
        <v>714</v>
      </c>
      <c r="J15" s="65">
        <f t="shared" si="4"/>
        <v>644</v>
      </c>
      <c r="K15" s="66">
        <f t="shared" si="5"/>
        <v>592.666666666667</v>
      </c>
      <c r="L15" s="67">
        <v>4.8</v>
      </c>
    </row>
    <row r="16" ht="23.1" customHeight="1" spans="1:20">
      <c r="A16" s="102"/>
      <c r="B16" s="103" t="s">
        <v>68</v>
      </c>
      <c r="C16" s="104">
        <v>30</v>
      </c>
      <c r="D16" s="105">
        <v>1900</v>
      </c>
      <c r="E16" s="104">
        <v>1350</v>
      </c>
      <c r="F16" s="106">
        <f t="shared" si="0"/>
        <v>4.17684630738523</v>
      </c>
      <c r="G16" s="65">
        <f t="shared" si="1"/>
        <v>3.8562874251497</v>
      </c>
      <c r="H16" s="66">
        <f t="shared" si="2"/>
        <v>3.54890219560878</v>
      </c>
      <c r="I16" s="65">
        <f t="shared" si="3"/>
        <v>714</v>
      </c>
      <c r="J16" s="65">
        <f t="shared" si="4"/>
        <v>644</v>
      </c>
      <c r="K16" s="66">
        <f t="shared" si="5"/>
        <v>592.666666666667</v>
      </c>
      <c r="L16" s="67">
        <v>4.8</v>
      </c>
      <c r="M16" s="7"/>
    </row>
    <row r="17" ht="23.1" customHeight="1" spans="1:12">
      <c r="A17" s="102"/>
      <c r="B17" s="103" t="s">
        <v>67</v>
      </c>
      <c r="C17" s="104">
        <v>30</v>
      </c>
      <c r="D17" s="105">
        <v>1900</v>
      </c>
      <c r="E17" s="104">
        <v>1350</v>
      </c>
      <c r="F17" s="106">
        <f t="shared" si="0"/>
        <v>4.17684630738523</v>
      </c>
      <c r="G17" s="65">
        <f t="shared" si="1"/>
        <v>3.8562874251497</v>
      </c>
      <c r="H17" s="66">
        <f t="shared" si="2"/>
        <v>3.54890219560878</v>
      </c>
      <c r="I17" s="65">
        <f t="shared" si="3"/>
        <v>714</v>
      </c>
      <c r="J17" s="65">
        <f t="shared" si="4"/>
        <v>644</v>
      </c>
      <c r="K17" s="66">
        <f t="shared" si="5"/>
        <v>592.666666666667</v>
      </c>
      <c r="L17" s="67">
        <v>4.8</v>
      </c>
    </row>
    <row r="18" ht="23.1" customHeight="1" spans="1:12">
      <c r="A18" s="102"/>
      <c r="B18" s="103" t="s">
        <v>77</v>
      </c>
      <c r="C18" s="104">
        <v>35</v>
      </c>
      <c r="D18" s="105">
        <v>1900</v>
      </c>
      <c r="E18" s="104">
        <v>1350</v>
      </c>
      <c r="F18" s="106">
        <f t="shared" si="0"/>
        <v>4.27684630738523</v>
      </c>
      <c r="G18" s="65">
        <f t="shared" si="1"/>
        <v>3.8562874251497</v>
      </c>
      <c r="H18" s="66">
        <f t="shared" si="2"/>
        <v>3.54890219560878</v>
      </c>
      <c r="I18" s="65">
        <f t="shared" si="3"/>
        <v>733.444444444444</v>
      </c>
      <c r="J18" s="65">
        <f t="shared" si="4"/>
        <v>644</v>
      </c>
      <c r="K18" s="66">
        <f t="shared" si="5"/>
        <v>592.666666666667</v>
      </c>
      <c r="L18" s="67">
        <v>4.8</v>
      </c>
    </row>
    <row r="19" ht="23.1" customHeight="1" spans="1:12">
      <c r="A19" s="102"/>
      <c r="B19" s="103" t="s">
        <v>79</v>
      </c>
      <c r="C19" s="104">
        <v>35</v>
      </c>
      <c r="D19" s="105">
        <v>1900</v>
      </c>
      <c r="E19" s="104">
        <v>1350</v>
      </c>
      <c r="F19" s="106">
        <f t="shared" si="0"/>
        <v>4.27684630738523</v>
      </c>
      <c r="G19" s="65">
        <f t="shared" si="1"/>
        <v>3.8562874251497</v>
      </c>
      <c r="H19" s="66">
        <f t="shared" si="2"/>
        <v>3.54890219560878</v>
      </c>
      <c r="I19" s="65">
        <f t="shared" si="3"/>
        <v>733.444444444444</v>
      </c>
      <c r="J19" s="65">
        <f t="shared" si="4"/>
        <v>644</v>
      </c>
      <c r="K19" s="66">
        <f t="shared" si="5"/>
        <v>592.666666666667</v>
      </c>
      <c r="L19" s="67">
        <v>4.8</v>
      </c>
    </row>
    <row r="20" ht="23.1" customHeight="1" spans="1:12">
      <c r="A20" s="102" t="s">
        <v>270</v>
      </c>
      <c r="B20" s="103" t="s">
        <v>70</v>
      </c>
      <c r="C20" s="104">
        <v>70</v>
      </c>
      <c r="D20" s="105">
        <v>2800</v>
      </c>
      <c r="E20" s="104">
        <v>2550</v>
      </c>
      <c r="F20" s="106">
        <f t="shared" si="0"/>
        <v>4.97684630738523</v>
      </c>
      <c r="G20" s="65">
        <f t="shared" si="1"/>
        <v>4.35928143712575</v>
      </c>
      <c r="H20" s="66">
        <f t="shared" si="2"/>
        <v>4.21956087824351</v>
      </c>
      <c r="I20" s="65">
        <f t="shared" si="3"/>
        <v>869.555555555556</v>
      </c>
      <c r="J20" s="65">
        <f t="shared" si="4"/>
        <v>728</v>
      </c>
      <c r="K20" s="66">
        <f t="shared" si="5"/>
        <v>704.666666666667</v>
      </c>
      <c r="L20" s="67">
        <v>5.6</v>
      </c>
    </row>
    <row r="21" ht="23.1" customHeight="1" spans="1:12">
      <c r="A21" s="102"/>
      <c r="B21" s="103" t="s">
        <v>71</v>
      </c>
      <c r="C21" s="104">
        <v>70</v>
      </c>
      <c r="D21" s="105">
        <v>2800</v>
      </c>
      <c r="E21" s="104">
        <v>2550</v>
      </c>
      <c r="F21" s="106">
        <f t="shared" si="0"/>
        <v>4.97684630738523</v>
      </c>
      <c r="G21" s="65">
        <f t="shared" si="1"/>
        <v>4.35928143712575</v>
      </c>
      <c r="H21" s="66">
        <f t="shared" si="2"/>
        <v>4.21956087824351</v>
      </c>
      <c r="I21" s="65">
        <f t="shared" si="3"/>
        <v>869.555555555556</v>
      </c>
      <c r="J21" s="65">
        <f t="shared" si="4"/>
        <v>728</v>
      </c>
      <c r="K21" s="66">
        <f t="shared" si="5"/>
        <v>704.666666666667</v>
      </c>
      <c r="L21" s="67">
        <v>5.6</v>
      </c>
    </row>
    <row r="22" ht="23.1" customHeight="1" spans="1:12">
      <c r="A22" s="102"/>
      <c r="B22" s="103" t="s">
        <v>72</v>
      </c>
      <c r="C22" s="104">
        <v>70</v>
      </c>
      <c r="D22" s="105">
        <v>2800</v>
      </c>
      <c r="E22" s="104">
        <v>2450</v>
      </c>
      <c r="F22" s="106">
        <f t="shared" si="0"/>
        <v>4.97684630738523</v>
      </c>
      <c r="G22" s="65">
        <f t="shared" si="1"/>
        <v>4.35928143712575</v>
      </c>
      <c r="H22" s="66">
        <f t="shared" si="2"/>
        <v>4.16367265469062</v>
      </c>
      <c r="I22" s="65">
        <f t="shared" si="3"/>
        <v>869.555555555556</v>
      </c>
      <c r="J22" s="65">
        <f t="shared" si="4"/>
        <v>728</v>
      </c>
      <c r="K22" s="66">
        <f t="shared" si="5"/>
        <v>695.333333333333</v>
      </c>
      <c r="L22" s="67">
        <v>5.6</v>
      </c>
    </row>
    <row r="23" ht="23.1" customHeight="1" spans="1:12">
      <c r="A23" s="102"/>
      <c r="B23" s="103" t="s">
        <v>73</v>
      </c>
      <c r="C23" s="104">
        <v>70</v>
      </c>
      <c r="D23" s="105">
        <v>2800</v>
      </c>
      <c r="E23" s="104">
        <v>2450</v>
      </c>
      <c r="F23" s="106">
        <f t="shared" si="0"/>
        <v>4.97684630738523</v>
      </c>
      <c r="G23" s="65">
        <f t="shared" si="1"/>
        <v>4.35928143712575</v>
      </c>
      <c r="H23" s="66">
        <f t="shared" si="2"/>
        <v>4.16367265469062</v>
      </c>
      <c r="I23" s="65">
        <f t="shared" si="3"/>
        <v>869.555555555556</v>
      </c>
      <c r="J23" s="65">
        <f t="shared" si="4"/>
        <v>728</v>
      </c>
      <c r="K23" s="66">
        <f t="shared" si="5"/>
        <v>695.333333333333</v>
      </c>
      <c r="L23" s="67">
        <v>5.6</v>
      </c>
    </row>
    <row r="24" ht="23.1" customHeight="1" spans="1:12">
      <c r="A24" s="102"/>
      <c r="B24" s="103" t="s">
        <v>88</v>
      </c>
      <c r="C24" s="104">
        <v>70</v>
      </c>
      <c r="D24" s="105">
        <v>2800</v>
      </c>
      <c r="E24" s="104">
        <v>2450</v>
      </c>
      <c r="F24" s="106">
        <f t="shared" si="0"/>
        <v>4.97684630738523</v>
      </c>
      <c r="G24" s="65">
        <f t="shared" si="1"/>
        <v>4.35928143712575</v>
      </c>
      <c r="H24" s="66">
        <f t="shared" si="2"/>
        <v>4.16367265469062</v>
      </c>
      <c r="I24" s="65">
        <f t="shared" si="3"/>
        <v>869.555555555556</v>
      </c>
      <c r="J24" s="65">
        <f t="shared" si="4"/>
        <v>728</v>
      </c>
      <c r="K24" s="66">
        <f t="shared" si="5"/>
        <v>695.333333333333</v>
      </c>
      <c r="L24" s="67">
        <v>5.6</v>
      </c>
    </row>
    <row r="25" ht="23.1" customHeight="1" spans="1:12">
      <c r="A25" s="102"/>
      <c r="B25" s="103" t="s">
        <v>87</v>
      </c>
      <c r="C25" s="104">
        <v>70</v>
      </c>
      <c r="D25" s="105">
        <v>2800</v>
      </c>
      <c r="E25" s="104">
        <v>2450</v>
      </c>
      <c r="F25" s="106">
        <f t="shared" si="0"/>
        <v>4.97684630738523</v>
      </c>
      <c r="G25" s="65">
        <f t="shared" si="1"/>
        <v>4.35928143712575</v>
      </c>
      <c r="H25" s="66">
        <f t="shared" si="2"/>
        <v>4.16367265469062</v>
      </c>
      <c r="I25" s="65">
        <f t="shared" si="3"/>
        <v>869.555555555556</v>
      </c>
      <c r="J25" s="65">
        <f t="shared" si="4"/>
        <v>728</v>
      </c>
      <c r="K25" s="66">
        <f t="shared" si="5"/>
        <v>695.333333333333</v>
      </c>
      <c r="L25" s="67">
        <v>5.6</v>
      </c>
    </row>
    <row r="26" ht="23.1" customHeight="1" spans="1:12">
      <c r="A26" s="102"/>
      <c r="B26" s="103" t="s">
        <v>94</v>
      </c>
      <c r="C26" s="104">
        <v>70</v>
      </c>
      <c r="D26" s="105">
        <v>2800</v>
      </c>
      <c r="E26" s="104">
        <v>2450</v>
      </c>
      <c r="F26" s="106">
        <f t="shared" si="0"/>
        <v>4.97684630738523</v>
      </c>
      <c r="G26" s="65">
        <f t="shared" si="1"/>
        <v>4.35928143712575</v>
      </c>
      <c r="H26" s="66">
        <f t="shared" si="2"/>
        <v>4.16367265469062</v>
      </c>
      <c r="I26" s="65">
        <f t="shared" si="3"/>
        <v>869.555555555556</v>
      </c>
      <c r="J26" s="65">
        <f t="shared" si="4"/>
        <v>728</v>
      </c>
      <c r="K26" s="66">
        <f t="shared" si="5"/>
        <v>695.333333333333</v>
      </c>
      <c r="L26" s="67"/>
    </row>
    <row r="27" ht="23.1" customHeight="1" spans="1:12">
      <c r="A27" s="102"/>
      <c r="B27" s="103" t="s">
        <v>74</v>
      </c>
      <c r="C27" s="104">
        <v>70</v>
      </c>
      <c r="D27" s="105">
        <v>2800</v>
      </c>
      <c r="E27" s="104">
        <v>2250</v>
      </c>
      <c r="F27" s="106">
        <f t="shared" si="0"/>
        <v>4.97684630738523</v>
      </c>
      <c r="G27" s="65">
        <f t="shared" si="1"/>
        <v>4.35928143712575</v>
      </c>
      <c r="H27" s="66">
        <f t="shared" si="2"/>
        <v>4.05189620758483</v>
      </c>
      <c r="I27" s="65">
        <f t="shared" si="3"/>
        <v>869.555555555556</v>
      </c>
      <c r="J27" s="65">
        <f t="shared" si="4"/>
        <v>728</v>
      </c>
      <c r="K27" s="66">
        <f t="shared" si="5"/>
        <v>676.666666666667</v>
      </c>
      <c r="L27" s="67">
        <v>5.6</v>
      </c>
    </row>
    <row r="28" ht="23.1" customHeight="1" spans="1:12">
      <c r="A28" s="102"/>
      <c r="B28" s="103" t="s">
        <v>75</v>
      </c>
      <c r="C28" s="104">
        <v>70</v>
      </c>
      <c r="D28" s="105">
        <v>2800</v>
      </c>
      <c r="E28" s="104">
        <v>2250</v>
      </c>
      <c r="F28" s="106">
        <f t="shared" si="0"/>
        <v>4.97684630738523</v>
      </c>
      <c r="G28" s="65">
        <f t="shared" si="1"/>
        <v>4.35928143712575</v>
      </c>
      <c r="H28" s="66">
        <f t="shared" si="2"/>
        <v>4.05189620758483</v>
      </c>
      <c r="I28" s="65">
        <f t="shared" si="3"/>
        <v>869.555555555556</v>
      </c>
      <c r="J28" s="65">
        <f t="shared" si="4"/>
        <v>728</v>
      </c>
      <c r="K28" s="66">
        <f t="shared" si="5"/>
        <v>676.666666666667</v>
      </c>
      <c r="L28" s="67">
        <v>5.6</v>
      </c>
    </row>
    <row r="29" ht="23.1" customHeight="1" spans="1:12">
      <c r="A29" s="102"/>
      <c r="B29" s="103" t="s">
        <v>89</v>
      </c>
      <c r="C29" s="104">
        <v>70</v>
      </c>
      <c r="D29" s="105">
        <v>2800</v>
      </c>
      <c r="E29" s="104">
        <v>2050</v>
      </c>
      <c r="F29" s="106">
        <f t="shared" si="0"/>
        <v>4.97684630738523</v>
      </c>
      <c r="G29" s="65">
        <f t="shared" si="1"/>
        <v>4.35928143712575</v>
      </c>
      <c r="H29" s="66">
        <f t="shared" si="2"/>
        <v>3.94011976047904</v>
      </c>
      <c r="I29" s="65">
        <f t="shared" si="3"/>
        <v>869.555555555556</v>
      </c>
      <c r="J29" s="65">
        <f t="shared" si="4"/>
        <v>728</v>
      </c>
      <c r="K29" s="66">
        <f t="shared" si="5"/>
        <v>658</v>
      </c>
      <c r="L29" s="67">
        <v>5.6</v>
      </c>
    </row>
    <row r="30" ht="23.1" customHeight="1" spans="1:12">
      <c r="A30" s="102"/>
      <c r="B30" s="103" t="s">
        <v>271</v>
      </c>
      <c r="C30" s="104">
        <v>70</v>
      </c>
      <c r="D30" s="105">
        <v>2800</v>
      </c>
      <c r="E30" s="104">
        <v>2550</v>
      </c>
      <c r="F30" s="106">
        <f t="shared" si="0"/>
        <v>4.97684630738523</v>
      </c>
      <c r="G30" s="65">
        <f t="shared" si="1"/>
        <v>4.35928143712575</v>
      </c>
      <c r="H30" s="66">
        <f t="shared" si="2"/>
        <v>4.21956087824351</v>
      </c>
      <c r="I30" s="65">
        <f t="shared" si="3"/>
        <v>869.555555555556</v>
      </c>
      <c r="J30" s="65">
        <f t="shared" si="4"/>
        <v>728</v>
      </c>
      <c r="K30" s="66">
        <f t="shared" si="5"/>
        <v>704.666666666667</v>
      </c>
      <c r="L30" s="67">
        <v>5.6</v>
      </c>
    </row>
    <row r="31" ht="23.1" customHeight="1" spans="1:12">
      <c r="A31" s="102"/>
      <c r="B31" s="103" t="s">
        <v>257</v>
      </c>
      <c r="C31" s="104">
        <v>70</v>
      </c>
      <c r="D31" s="105">
        <v>2800</v>
      </c>
      <c r="E31" s="104">
        <v>2550</v>
      </c>
      <c r="F31" s="106">
        <f t="shared" si="0"/>
        <v>4.97684630738523</v>
      </c>
      <c r="G31" s="65">
        <f t="shared" si="1"/>
        <v>4.35928143712575</v>
      </c>
      <c r="H31" s="66">
        <f t="shared" si="2"/>
        <v>4.21956087824351</v>
      </c>
      <c r="I31" s="65">
        <f t="shared" si="3"/>
        <v>869.555555555556</v>
      </c>
      <c r="J31" s="65">
        <f t="shared" si="4"/>
        <v>728</v>
      </c>
      <c r="K31" s="66">
        <f t="shared" si="5"/>
        <v>704.666666666667</v>
      </c>
      <c r="L31" s="67">
        <v>5.6</v>
      </c>
    </row>
    <row r="32" ht="23.1" customHeight="1" spans="1:12">
      <c r="A32" s="102"/>
      <c r="B32" s="103" t="s">
        <v>263</v>
      </c>
      <c r="C32" s="104">
        <v>71</v>
      </c>
      <c r="D32" s="105">
        <v>2800</v>
      </c>
      <c r="E32" s="104">
        <v>2550</v>
      </c>
      <c r="F32" s="106">
        <f t="shared" si="0"/>
        <v>4.99684630738523</v>
      </c>
      <c r="G32" s="65">
        <f t="shared" si="1"/>
        <v>4.35928143712575</v>
      </c>
      <c r="H32" s="66">
        <f t="shared" si="2"/>
        <v>4.21956087824351</v>
      </c>
      <c r="I32" s="65">
        <f t="shared" si="3"/>
        <v>873.444444444444</v>
      </c>
      <c r="J32" s="65">
        <f t="shared" si="4"/>
        <v>728</v>
      </c>
      <c r="K32" s="66">
        <f t="shared" si="5"/>
        <v>704.666666666667</v>
      </c>
      <c r="L32" s="67">
        <v>5.7</v>
      </c>
    </row>
    <row r="33" ht="23.1" customHeight="1" spans="1:12">
      <c r="A33" s="102"/>
      <c r="B33" s="103" t="s">
        <v>93</v>
      </c>
      <c r="C33" s="104">
        <v>80</v>
      </c>
      <c r="D33" s="105">
        <v>2800</v>
      </c>
      <c r="E33" s="104">
        <v>2550</v>
      </c>
      <c r="F33" s="106">
        <f t="shared" si="0"/>
        <v>5.17684630738523</v>
      </c>
      <c r="G33" s="65">
        <f t="shared" si="1"/>
        <v>4.35928143712575</v>
      </c>
      <c r="H33" s="66">
        <f t="shared" si="2"/>
        <v>4.21956087824351</v>
      </c>
      <c r="I33" s="65">
        <f t="shared" si="3"/>
        <v>908.444444444444</v>
      </c>
      <c r="J33" s="65">
        <f t="shared" si="4"/>
        <v>728</v>
      </c>
      <c r="K33" s="66">
        <f t="shared" si="5"/>
        <v>704.666666666667</v>
      </c>
      <c r="L33" s="67">
        <v>5.6</v>
      </c>
    </row>
    <row r="34" ht="23.1" customHeight="1" spans="1:12">
      <c r="A34" s="102"/>
      <c r="B34" s="103" t="s">
        <v>95</v>
      </c>
      <c r="C34" s="104">
        <v>80</v>
      </c>
      <c r="D34" s="105">
        <v>2800</v>
      </c>
      <c r="E34" s="104"/>
      <c r="F34" s="106">
        <f t="shared" si="0"/>
        <v>5.17684630738523</v>
      </c>
      <c r="G34" s="65">
        <f t="shared" si="1"/>
        <v>4.35928143712575</v>
      </c>
      <c r="H34" s="66" t="str">
        <f t="shared" si="2"/>
        <v/>
      </c>
      <c r="I34" s="65">
        <f t="shared" si="3"/>
        <v>908.444444444444</v>
      </c>
      <c r="J34" s="65">
        <f t="shared" si="4"/>
        <v>728</v>
      </c>
      <c r="K34" s="66" t="str">
        <f t="shared" si="5"/>
        <v/>
      </c>
      <c r="L34" s="67">
        <v>5.6</v>
      </c>
    </row>
    <row r="35" ht="23.1" customHeight="1" spans="1:12">
      <c r="A35" s="102" t="s">
        <v>272</v>
      </c>
      <c r="B35" s="103" t="s">
        <v>104</v>
      </c>
      <c r="C35" s="104">
        <v>170</v>
      </c>
      <c r="D35" s="105">
        <v>5400</v>
      </c>
      <c r="E35" s="104"/>
      <c r="F35" s="106">
        <f t="shared" si="0"/>
        <v>6.97684630738523</v>
      </c>
      <c r="G35" s="65">
        <f t="shared" si="1"/>
        <v>5.812375249501</v>
      </c>
      <c r="H35" s="66" t="str">
        <f t="shared" si="2"/>
        <v/>
      </c>
      <c r="I35" s="65">
        <f t="shared" si="3"/>
        <v>1258.44444444444</v>
      </c>
      <c r="J35" s="65">
        <f t="shared" si="4"/>
        <v>970.666666666667</v>
      </c>
      <c r="K35" s="66" t="str">
        <f t="shared" si="5"/>
        <v/>
      </c>
      <c r="L35" s="67">
        <v>7.1</v>
      </c>
    </row>
    <row r="36" ht="23.1" customHeight="1" spans="1:12">
      <c r="A36" s="102"/>
      <c r="B36" s="103" t="s">
        <v>174</v>
      </c>
      <c r="C36" s="104">
        <v>170</v>
      </c>
      <c r="D36" s="105">
        <v>5400</v>
      </c>
      <c r="E36" s="104"/>
      <c r="F36" s="106">
        <f t="shared" si="0"/>
        <v>6.97684630738523</v>
      </c>
      <c r="G36" s="65">
        <f t="shared" si="1"/>
        <v>5.812375249501</v>
      </c>
      <c r="H36" s="66" t="str">
        <f t="shared" si="2"/>
        <v/>
      </c>
      <c r="I36" s="65">
        <f t="shared" si="3"/>
        <v>1258.44444444444</v>
      </c>
      <c r="J36" s="65">
        <f t="shared" si="4"/>
        <v>970.666666666667</v>
      </c>
      <c r="K36" s="66" t="str">
        <f t="shared" si="5"/>
        <v/>
      </c>
      <c r="L36" s="67">
        <v>7.4</v>
      </c>
    </row>
    <row r="37" ht="23.1" customHeight="1" spans="1:12">
      <c r="A37" s="102"/>
      <c r="B37" s="103" t="s">
        <v>175</v>
      </c>
      <c r="C37" s="104">
        <v>180</v>
      </c>
      <c r="D37" s="105">
        <v>5400</v>
      </c>
      <c r="E37" s="104"/>
      <c r="F37" s="106">
        <f t="shared" si="0"/>
        <v>7.17684630738523</v>
      </c>
      <c r="G37" s="65">
        <f t="shared" si="1"/>
        <v>5.812375249501</v>
      </c>
      <c r="H37" s="66" t="str">
        <f t="shared" si="2"/>
        <v/>
      </c>
      <c r="I37" s="65">
        <f t="shared" si="3"/>
        <v>1297.33333333333</v>
      </c>
      <c r="J37" s="65">
        <f t="shared" si="4"/>
        <v>970.666666666667</v>
      </c>
      <c r="K37" s="66" t="str">
        <f t="shared" si="5"/>
        <v/>
      </c>
      <c r="L37" s="67">
        <v>7.4</v>
      </c>
    </row>
    <row r="38" ht="23.1" customHeight="1" spans="1:12">
      <c r="A38" s="102"/>
      <c r="B38" s="103" t="s">
        <v>111</v>
      </c>
      <c r="C38" s="104">
        <v>180</v>
      </c>
      <c r="D38" s="105">
        <v>5400</v>
      </c>
      <c r="E38" s="104"/>
      <c r="F38" s="106">
        <f t="shared" si="0"/>
        <v>7.17684630738523</v>
      </c>
      <c r="G38" s="65">
        <f t="shared" si="1"/>
        <v>5.812375249501</v>
      </c>
      <c r="H38" s="66" t="str">
        <f t="shared" si="2"/>
        <v/>
      </c>
      <c r="I38" s="65">
        <f t="shared" si="3"/>
        <v>1297.33333333333</v>
      </c>
      <c r="J38" s="65">
        <f t="shared" si="4"/>
        <v>970.666666666667</v>
      </c>
      <c r="K38" s="66" t="str">
        <f t="shared" si="5"/>
        <v/>
      </c>
      <c r="L38" s="67">
        <v>7.4</v>
      </c>
    </row>
    <row r="39" ht="23.1" customHeight="1" spans="1:12">
      <c r="A39" s="102"/>
      <c r="B39" s="103" t="s">
        <v>99</v>
      </c>
      <c r="C39" s="104">
        <v>170</v>
      </c>
      <c r="D39" s="105">
        <v>5400</v>
      </c>
      <c r="E39" s="104"/>
      <c r="F39" s="106">
        <f t="shared" si="0"/>
        <v>6.97684630738523</v>
      </c>
      <c r="G39" s="65">
        <f t="shared" si="1"/>
        <v>5.812375249501</v>
      </c>
      <c r="H39" s="66" t="str">
        <f t="shared" si="2"/>
        <v/>
      </c>
      <c r="I39" s="65">
        <f t="shared" si="3"/>
        <v>1258.44444444444</v>
      </c>
      <c r="J39" s="65">
        <f t="shared" si="4"/>
        <v>970.666666666667</v>
      </c>
      <c r="K39" s="66" t="str">
        <f t="shared" si="5"/>
        <v/>
      </c>
      <c r="L39" s="67"/>
    </row>
    <row r="40" ht="23.1" customHeight="1" spans="1:12">
      <c r="A40" s="102"/>
      <c r="B40" s="103" t="s">
        <v>98</v>
      </c>
      <c r="C40" s="104">
        <v>170</v>
      </c>
      <c r="D40" s="105">
        <v>5400</v>
      </c>
      <c r="E40" s="104"/>
      <c r="F40" s="106">
        <f t="shared" si="0"/>
        <v>6.97684630738523</v>
      </c>
      <c r="G40" s="65">
        <f t="shared" si="1"/>
        <v>5.812375249501</v>
      </c>
      <c r="H40" s="66" t="str">
        <f t="shared" si="2"/>
        <v/>
      </c>
      <c r="I40" s="65">
        <f t="shared" si="3"/>
        <v>1258.44444444444</v>
      </c>
      <c r="J40" s="65">
        <f t="shared" si="4"/>
        <v>970.666666666667</v>
      </c>
      <c r="K40" s="66" t="str">
        <f t="shared" si="5"/>
        <v/>
      </c>
      <c r="L40" s="67">
        <v>7.4</v>
      </c>
    </row>
    <row r="41" ht="23.1" customHeight="1" spans="1:12">
      <c r="A41" s="102"/>
      <c r="B41" s="103" t="s">
        <v>100</v>
      </c>
      <c r="C41" s="104">
        <v>180</v>
      </c>
      <c r="D41" s="105">
        <v>5400</v>
      </c>
      <c r="E41" s="104"/>
      <c r="F41" s="106">
        <f t="shared" si="0"/>
        <v>7.17684630738523</v>
      </c>
      <c r="G41" s="65">
        <f t="shared" si="1"/>
        <v>5.812375249501</v>
      </c>
      <c r="H41" s="66" t="str">
        <f t="shared" si="2"/>
        <v/>
      </c>
      <c r="I41" s="65">
        <f t="shared" si="3"/>
        <v>1297.33333333333</v>
      </c>
      <c r="J41" s="65">
        <f t="shared" si="4"/>
        <v>970.666666666667</v>
      </c>
      <c r="K41" s="66" t="str">
        <f t="shared" si="5"/>
        <v/>
      </c>
      <c r="L41" s="67">
        <v>7.4</v>
      </c>
    </row>
    <row r="42" ht="23.1" customHeight="1" spans="1:12">
      <c r="A42" s="102"/>
      <c r="B42" s="103" t="s">
        <v>101</v>
      </c>
      <c r="C42" s="104">
        <v>140</v>
      </c>
      <c r="D42" s="105">
        <v>5400</v>
      </c>
      <c r="E42" s="104">
        <v>4050</v>
      </c>
      <c r="F42" s="106">
        <f t="shared" si="0"/>
        <v>6.37684630738523</v>
      </c>
      <c r="G42" s="65">
        <f t="shared" si="1"/>
        <v>5.812375249501</v>
      </c>
      <c r="H42" s="66">
        <f t="shared" si="2"/>
        <v>5.05788423153693</v>
      </c>
      <c r="I42" s="65">
        <f t="shared" si="3"/>
        <v>1141.77777777778</v>
      </c>
      <c r="J42" s="65">
        <f t="shared" si="4"/>
        <v>970.666666666667</v>
      </c>
      <c r="K42" s="66">
        <f t="shared" si="5"/>
        <v>844.666666666667</v>
      </c>
      <c r="L42" s="67">
        <v>7.1</v>
      </c>
    </row>
    <row r="43" ht="23.1" customHeight="1" spans="1:12">
      <c r="A43" s="102"/>
      <c r="B43" s="103" t="s">
        <v>265</v>
      </c>
      <c r="C43" s="104">
        <v>170</v>
      </c>
      <c r="D43" s="105">
        <v>5400</v>
      </c>
      <c r="E43" s="104"/>
      <c r="F43" s="106">
        <f t="shared" si="0"/>
        <v>6.97684630738523</v>
      </c>
      <c r="G43" s="65">
        <f t="shared" si="1"/>
        <v>5.812375249501</v>
      </c>
      <c r="H43" s="66" t="str">
        <f t="shared" si="2"/>
        <v/>
      </c>
      <c r="I43" s="65">
        <f t="shared" si="3"/>
        <v>1258.44444444444</v>
      </c>
      <c r="J43" s="65">
        <f t="shared" si="4"/>
        <v>970.666666666667</v>
      </c>
      <c r="K43" s="66" t="str">
        <f t="shared" si="5"/>
        <v/>
      </c>
      <c r="L43" s="67"/>
    </row>
    <row r="44" ht="23.1" customHeight="1" spans="1:12">
      <c r="A44" s="102"/>
      <c r="B44" s="103" t="s">
        <v>113</v>
      </c>
      <c r="C44" s="104">
        <v>180</v>
      </c>
      <c r="D44" s="105">
        <v>5400</v>
      </c>
      <c r="E44" s="104"/>
      <c r="F44" s="106">
        <f t="shared" si="0"/>
        <v>7.17684630738523</v>
      </c>
      <c r="G44" s="65">
        <f t="shared" si="1"/>
        <v>5.812375249501</v>
      </c>
      <c r="H44" s="66" t="str">
        <f t="shared" si="2"/>
        <v/>
      </c>
      <c r="I44" s="65">
        <f t="shared" si="3"/>
        <v>1297.33333333333</v>
      </c>
      <c r="J44" s="65">
        <f t="shared" si="4"/>
        <v>970.666666666667</v>
      </c>
      <c r="K44" s="66" t="str">
        <f t="shared" si="5"/>
        <v/>
      </c>
      <c r="L44" s="67"/>
    </row>
    <row r="45" ht="23.1" customHeight="1" spans="1:12">
      <c r="A45" s="102" t="s">
        <v>86</v>
      </c>
      <c r="B45" s="103" t="s">
        <v>107</v>
      </c>
      <c r="C45" s="104">
        <v>170</v>
      </c>
      <c r="D45" s="105">
        <v>6200</v>
      </c>
      <c r="E45" s="104"/>
      <c r="F45" s="106">
        <f t="shared" si="0"/>
        <v>6.97684630738523</v>
      </c>
      <c r="G45" s="65">
        <f t="shared" si="1"/>
        <v>6.25948103792415</v>
      </c>
      <c r="H45" s="66" t="str">
        <f t="shared" si="2"/>
        <v/>
      </c>
      <c r="I45" s="65">
        <f t="shared" si="3"/>
        <v>1258.44444444444</v>
      </c>
      <c r="J45" s="65">
        <f t="shared" si="4"/>
        <v>1045.33333333333</v>
      </c>
      <c r="K45" s="66" t="str">
        <f t="shared" si="5"/>
        <v/>
      </c>
      <c r="L45" s="67">
        <v>7.4</v>
      </c>
    </row>
    <row r="46" ht="23.1" customHeight="1" spans="1:12">
      <c r="A46" s="102"/>
      <c r="B46" s="103" t="s">
        <v>121</v>
      </c>
      <c r="C46" s="104">
        <v>200</v>
      </c>
      <c r="D46" s="105">
        <v>6200</v>
      </c>
      <c r="E46" s="104"/>
      <c r="F46" s="106">
        <f t="shared" ref="F46:F77" si="6">$J$12+(C46*$J$10/$L$10)</f>
        <v>7.57684630738523</v>
      </c>
      <c r="G46" s="65">
        <f t="shared" ref="G46:G77" si="7">IF(D46="","",($J$11-$H$7+D46)*$J$10/$H$12)</f>
        <v>6.25948103792415</v>
      </c>
      <c r="H46" s="66" t="str">
        <f t="shared" ref="H46:H77" si="8">IF(E46="","",($J$11-$H$7+E46)*$J$10/$H$12)</f>
        <v/>
      </c>
      <c r="I46" s="65">
        <f t="shared" ref="I46:I77" si="9">$F$12+(C46*$J$10/$L$12)</f>
        <v>1375.11111111111</v>
      </c>
      <c r="J46" s="65">
        <f t="shared" ref="J46:J74" si="10">IF(D46="","",($J$11-$H$7+D46)*$J$10/$B$12)</f>
        <v>1045.33333333333</v>
      </c>
      <c r="K46" s="66" t="str">
        <f t="shared" ref="K46:K74" si="11">IF(E46="","",($J$11-$H$7+E46)*$J$10/$B$12)</f>
        <v/>
      </c>
      <c r="L46" s="67"/>
    </row>
    <row r="47" ht="23.1" customHeight="1" spans="1:12">
      <c r="A47" s="102"/>
      <c r="B47" s="103" t="s">
        <v>122</v>
      </c>
      <c r="C47" s="104">
        <v>200</v>
      </c>
      <c r="D47" s="105">
        <v>6200</v>
      </c>
      <c r="E47" s="104"/>
      <c r="F47" s="106">
        <f t="shared" si="6"/>
        <v>7.57684630738523</v>
      </c>
      <c r="G47" s="65">
        <f t="shared" si="7"/>
        <v>6.25948103792415</v>
      </c>
      <c r="H47" s="66" t="str">
        <f t="shared" si="8"/>
        <v/>
      </c>
      <c r="I47" s="65">
        <f t="shared" si="9"/>
        <v>1375.11111111111</v>
      </c>
      <c r="J47" s="65">
        <f t="shared" si="10"/>
        <v>1045.33333333333</v>
      </c>
      <c r="K47" s="66" t="str">
        <f t="shared" si="11"/>
        <v/>
      </c>
      <c r="L47" s="67"/>
    </row>
    <row r="48" ht="23.1" customHeight="1" spans="1:12">
      <c r="A48" s="102"/>
      <c r="B48" s="103" t="s">
        <v>103</v>
      </c>
      <c r="C48" s="104">
        <v>180</v>
      </c>
      <c r="D48" s="105">
        <v>6200</v>
      </c>
      <c r="E48" s="104"/>
      <c r="F48" s="106">
        <f t="shared" si="6"/>
        <v>7.17684630738523</v>
      </c>
      <c r="G48" s="65">
        <f t="shared" si="7"/>
        <v>6.25948103792415</v>
      </c>
      <c r="H48" s="66" t="str">
        <f t="shared" si="8"/>
        <v/>
      </c>
      <c r="I48" s="65">
        <f t="shared" si="9"/>
        <v>1297.33333333333</v>
      </c>
      <c r="J48" s="65">
        <f t="shared" si="10"/>
        <v>1045.33333333333</v>
      </c>
      <c r="K48" s="66" t="str">
        <f t="shared" si="11"/>
        <v/>
      </c>
      <c r="L48" s="67">
        <v>7.4</v>
      </c>
    </row>
    <row r="49" ht="23.1" customHeight="1" spans="1:12">
      <c r="A49" s="102"/>
      <c r="B49" s="103" t="s">
        <v>126</v>
      </c>
      <c r="C49" s="104">
        <v>210</v>
      </c>
      <c r="D49" s="105">
        <v>6200</v>
      </c>
      <c r="E49" s="104"/>
      <c r="F49" s="106">
        <f t="shared" si="6"/>
        <v>7.77684630738523</v>
      </c>
      <c r="G49" s="65">
        <f t="shared" si="7"/>
        <v>6.25948103792415</v>
      </c>
      <c r="H49" s="66" t="str">
        <f t="shared" si="8"/>
        <v/>
      </c>
      <c r="I49" s="65">
        <f t="shared" si="9"/>
        <v>1414</v>
      </c>
      <c r="J49" s="65">
        <f t="shared" si="10"/>
        <v>1045.33333333333</v>
      </c>
      <c r="K49" s="66" t="str">
        <f t="shared" si="11"/>
        <v/>
      </c>
      <c r="L49" s="67">
        <v>9</v>
      </c>
    </row>
    <row r="50" ht="23.1" customHeight="1" spans="1:12">
      <c r="A50" s="102"/>
      <c r="B50" s="103" t="s">
        <v>105</v>
      </c>
      <c r="C50" s="104">
        <v>170</v>
      </c>
      <c r="D50" s="105">
        <v>6200</v>
      </c>
      <c r="E50" s="104"/>
      <c r="F50" s="106">
        <f t="shared" si="6"/>
        <v>6.97684630738523</v>
      </c>
      <c r="G50" s="65">
        <f t="shared" si="7"/>
        <v>6.25948103792415</v>
      </c>
      <c r="H50" s="66" t="str">
        <f t="shared" si="8"/>
        <v/>
      </c>
      <c r="I50" s="65">
        <f t="shared" si="9"/>
        <v>1258.44444444444</v>
      </c>
      <c r="J50" s="65">
        <f t="shared" si="10"/>
        <v>1045.33333333333</v>
      </c>
      <c r="K50" s="66" t="str">
        <f t="shared" si="11"/>
        <v/>
      </c>
      <c r="L50" s="67">
        <v>7.4</v>
      </c>
    </row>
    <row r="51" ht="23.1" customHeight="1" spans="1:12">
      <c r="A51" s="102"/>
      <c r="B51" s="103" t="s">
        <v>106</v>
      </c>
      <c r="C51" s="104">
        <v>170</v>
      </c>
      <c r="D51" s="105">
        <v>6200</v>
      </c>
      <c r="E51" s="104"/>
      <c r="F51" s="106">
        <f t="shared" si="6"/>
        <v>6.97684630738523</v>
      </c>
      <c r="G51" s="65">
        <f t="shared" si="7"/>
        <v>6.25948103792415</v>
      </c>
      <c r="H51" s="66" t="str">
        <f t="shared" si="8"/>
        <v/>
      </c>
      <c r="I51" s="65">
        <f t="shared" si="9"/>
        <v>1258.44444444444</v>
      </c>
      <c r="J51" s="65">
        <f t="shared" si="10"/>
        <v>1045.33333333333</v>
      </c>
      <c r="K51" s="66" t="str">
        <f t="shared" si="11"/>
        <v/>
      </c>
      <c r="L51" s="67">
        <v>7.4</v>
      </c>
    </row>
    <row r="52" ht="23.1" customHeight="1" spans="1:12">
      <c r="A52" s="102"/>
      <c r="B52" s="103" t="s">
        <v>119</v>
      </c>
      <c r="C52" s="104">
        <v>170</v>
      </c>
      <c r="D52" s="105">
        <v>6200</v>
      </c>
      <c r="E52" s="104"/>
      <c r="F52" s="106">
        <f t="shared" si="6"/>
        <v>6.97684630738523</v>
      </c>
      <c r="G52" s="65">
        <f t="shared" si="7"/>
        <v>6.25948103792415</v>
      </c>
      <c r="H52" s="66" t="str">
        <f t="shared" si="8"/>
        <v/>
      </c>
      <c r="I52" s="65">
        <f t="shared" si="9"/>
        <v>1258.44444444444</v>
      </c>
      <c r="J52" s="65">
        <f t="shared" si="10"/>
        <v>1045.33333333333</v>
      </c>
      <c r="K52" s="66" t="str">
        <f t="shared" si="11"/>
        <v/>
      </c>
      <c r="L52" s="67">
        <v>7.4</v>
      </c>
    </row>
    <row r="53" ht="23.1" customHeight="1" spans="1:12">
      <c r="A53" s="102"/>
      <c r="B53" s="103" t="s">
        <v>108</v>
      </c>
      <c r="C53" s="104">
        <v>170</v>
      </c>
      <c r="D53" s="105">
        <v>6200</v>
      </c>
      <c r="E53" s="104"/>
      <c r="F53" s="106">
        <f t="shared" si="6"/>
        <v>6.97684630738523</v>
      </c>
      <c r="G53" s="65">
        <f t="shared" si="7"/>
        <v>6.25948103792415</v>
      </c>
      <c r="H53" s="66" t="str">
        <f t="shared" si="8"/>
        <v/>
      </c>
      <c r="I53" s="65">
        <f t="shared" si="9"/>
        <v>1258.44444444444</v>
      </c>
      <c r="J53" s="65">
        <f t="shared" si="10"/>
        <v>1045.33333333333</v>
      </c>
      <c r="K53" s="66" t="str">
        <f t="shared" si="11"/>
        <v/>
      </c>
      <c r="L53" s="67">
        <v>7.4</v>
      </c>
    </row>
    <row r="54" ht="23.1" customHeight="1" spans="1:12">
      <c r="A54" s="102"/>
      <c r="B54" s="103" t="s">
        <v>120</v>
      </c>
      <c r="C54" s="104">
        <v>200</v>
      </c>
      <c r="D54" s="105">
        <v>6200</v>
      </c>
      <c r="E54" s="104"/>
      <c r="F54" s="106">
        <f t="shared" si="6"/>
        <v>7.57684630738523</v>
      </c>
      <c r="G54" s="65">
        <f t="shared" si="7"/>
        <v>6.25948103792415</v>
      </c>
      <c r="H54" s="66" t="str">
        <f t="shared" si="8"/>
        <v/>
      </c>
      <c r="I54" s="65">
        <f t="shared" si="9"/>
        <v>1375.11111111111</v>
      </c>
      <c r="J54" s="65">
        <f t="shared" si="10"/>
        <v>1045.33333333333</v>
      </c>
      <c r="K54" s="66" t="str">
        <f t="shared" si="11"/>
        <v/>
      </c>
      <c r="L54" s="67">
        <v>7.4</v>
      </c>
    </row>
    <row r="55" ht="23.1" customHeight="1" spans="1:12">
      <c r="A55" s="102"/>
      <c r="B55" s="103" t="s">
        <v>118</v>
      </c>
      <c r="C55" s="104">
        <v>200</v>
      </c>
      <c r="D55" s="105">
        <v>6200</v>
      </c>
      <c r="E55" s="104"/>
      <c r="F55" s="106">
        <f t="shared" si="6"/>
        <v>7.57684630738523</v>
      </c>
      <c r="G55" s="65">
        <f t="shared" si="7"/>
        <v>6.25948103792415</v>
      </c>
      <c r="H55" s="66" t="str">
        <f t="shared" si="8"/>
        <v/>
      </c>
      <c r="I55" s="65">
        <f t="shared" si="9"/>
        <v>1375.11111111111</v>
      </c>
      <c r="J55" s="65">
        <f t="shared" si="10"/>
        <v>1045.33333333333</v>
      </c>
      <c r="K55" s="66" t="str">
        <f t="shared" si="11"/>
        <v/>
      </c>
      <c r="L55" s="67"/>
    </row>
    <row r="56" ht="23.1" customHeight="1" spans="1:12">
      <c r="A56" s="102"/>
      <c r="B56" s="103" t="s">
        <v>128</v>
      </c>
      <c r="C56" s="104">
        <v>200</v>
      </c>
      <c r="D56" s="105">
        <v>6200</v>
      </c>
      <c r="E56" s="104"/>
      <c r="F56" s="106">
        <f t="shared" si="6"/>
        <v>7.57684630738523</v>
      </c>
      <c r="G56" s="65">
        <f t="shared" si="7"/>
        <v>6.25948103792415</v>
      </c>
      <c r="H56" s="66" t="str">
        <f t="shared" si="8"/>
        <v/>
      </c>
      <c r="I56" s="65">
        <f t="shared" si="9"/>
        <v>1375.11111111111</v>
      </c>
      <c r="J56" s="65">
        <f t="shared" si="10"/>
        <v>1045.33333333333</v>
      </c>
      <c r="K56" s="66" t="str">
        <f t="shared" si="11"/>
        <v/>
      </c>
      <c r="L56" s="67"/>
    </row>
    <row r="57" ht="23.1" customHeight="1" spans="1:12">
      <c r="A57" s="102" t="s">
        <v>273</v>
      </c>
      <c r="B57" s="103" t="s">
        <v>131</v>
      </c>
      <c r="C57" s="104">
        <v>240</v>
      </c>
      <c r="D57" s="105">
        <v>8200</v>
      </c>
      <c r="E57" s="104"/>
      <c r="F57" s="106">
        <f t="shared" si="6"/>
        <v>8.37684630738523</v>
      </c>
      <c r="G57" s="65">
        <f t="shared" si="7"/>
        <v>7.37724550898204</v>
      </c>
      <c r="H57" s="66" t="str">
        <f t="shared" si="8"/>
        <v/>
      </c>
      <c r="I57" s="65">
        <f t="shared" si="9"/>
        <v>1530.66666666667</v>
      </c>
      <c r="J57" s="65">
        <f t="shared" si="10"/>
        <v>1232</v>
      </c>
      <c r="K57" s="66" t="str">
        <f t="shared" si="11"/>
        <v/>
      </c>
      <c r="L57" s="67">
        <v>8.7</v>
      </c>
    </row>
    <row r="58" ht="23.1" customHeight="1" spans="1:12">
      <c r="A58" s="102"/>
      <c r="B58" s="103" t="s">
        <v>144</v>
      </c>
      <c r="C58" s="104">
        <v>240</v>
      </c>
      <c r="D58" s="105">
        <v>8200</v>
      </c>
      <c r="E58" s="104"/>
      <c r="F58" s="106">
        <f t="shared" si="6"/>
        <v>8.37684630738523</v>
      </c>
      <c r="G58" s="65">
        <f t="shared" si="7"/>
        <v>7.37724550898204</v>
      </c>
      <c r="H58" s="66" t="str">
        <f t="shared" si="8"/>
        <v/>
      </c>
      <c r="I58" s="65">
        <f t="shared" si="9"/>
        <v>1530.66666666667</v>
      </c>
      <c r="J58" s="65">
        <f t="shared" si="10"/>
        <v>1232</v>
      </c>
      <c r="K58" s="66" t="str">
        <f t="shared" si="11"/>
        <v/>
      </c>
      <c r="L58" s="67">
        <v>8.7</v>
      </c>
    </row>
    <row r="59" ht="23.1" customHeight="1" spans="1:12">
      <c r="A59" s="102"/>
      <c r="B59" s="103" t="s">
        <v>156</v>
      </c>
      <c r="C59" s="104">
        <v>270</v>
      </c>
      <c r="D59" s="105">
        <v>8200</v>
      </c>
      <c r="E59" s="104"/>
      <c r="F59" s="106">
        <f t="shared" si="6"/>
        <v>8.97684630738523</v>
      </c>
      <c r="G59" s="65">
        <f t="shared" si="7"/>
        <v>7.37724550898204</v>
      </c>
      <c r="H59" s="66" t="str">
        <f t="shared" si="8"/>
        <v/>
      </c>
      <c r="I59" s="65">
        <f t="shared" si="9"/>
        <v>1647.33333333333</v>
      </c>
      <c r="J59" s="65">
        <f t="shared" si="10"/>
        <v>1232</v>
      </c>
      <c r="K59" s="66" t="str">
        <f t="shared" si="11"/>
        <v/>
      </c>
      <c r="L59" s="67">
        <v>9</v>
      </c>
    </row>
    <row r="60" ht="23.1" customHeight="1" spans="1:12">
      <c r="A60" s="102"/>
      <c r="B60" s="103" t="s">
        <v>157</v>
      </c>
      <c r="C60" s="104">
        <v>270</v>
      </c>
      <c r="D60" s="105">
        <v>8200</v>
      </c>
      <c r="E60" s="104"/>
      <c r="F60" s="106">
        <f t="shared" si="6"/>
        <v>8.97684630738523</v>
      </c>
      <c r="G60" s="65">
        <f t="shared" si="7"/>
        <v>7.37724550898204</v>
      </c>
      <c r="H60" s="66" t="str">
        <f t="shared" si="8"/>
        <v/>
      </c>
      <c r="I60" s="65">
        <f t="shared" si="9"/>
        <v>1647.33333333333</v>
      </c>
      <c r="J60" s="65">
        <f t="shared" si="10"/>
        <v>1232</v>
      </c>
      <c r="K60" s="66" t="str">
        <f t="shared" si="11"/>
        <v/>
      </c>
      <c r="L60" s="67">
        <v>9</v>
      </c>
    </row>
    <row r="61" ht="23.1" customHeight="1" spans="1:12">
      <c r="A61" s="102"/>
      <c r="B61" s="103" t="s">
        <v>153</v>
      </c>
      <c r="C61" s="104">
        <v>270</v>
      </c>
      <c r="D61" s="105">
        <v>8200</v>
      </c>
      <c r="E61" s="104"/>
      <c r="F61" s="106">
        <f t="shared" si="6"/>
        <v>8.97684630738523</v>
      </c>
      <c r="G61" s="65">
        <f t="shared" si="7"/>
        <v>7.37724550898204</v>
      </c>
      <c r="H61" s="66" t="str">
        <f t="shared" si="8"/>
        <v/>
      </c>
      <c r="I61" s="65">
        <f t="shared" si="9"/>
        <v>1647.33333333333</v>
      </c>
      <c r="J61" s="65">
        <f t="shared" si="10"/>
        <v>1232</v>
      </c>
      <c r="K61" s="66" t="str">
        <f t="shared" si="11"/>
        <v/>
      </c>
      <c r="L61" s="67">
        <v>9</v>
      </c>
    </row>
    <row r="62" ht="23.1" customHeight="1" spans="1:12">
      <c r="A62" s="102"/>
      <c r="B62" s="103" t="s">
        <v>166</v>
      </c>
      <c r="C62" s="104">
        <v>300</v>
      </c>
      <c r="D62" s="105">
        <v>8200</v>
      </c>
      <c r="E62" s="104"/>
      <c r="F62" s="106">
        <f t="shared" si="6"/>
        <v>9.57684630738523</v>
      </c>
      <c r="G62" s="65">
        <f t="shared" si="7"/>
        <v>7.37724550898204</v>
      </c>
      <c r="H62" s="66" t="str">
        <f t="shared" si="8"/>
        <v/>
      </c>
      <c r="I62" s="65">
        <f t="shared" si="9"/>
        <v>1764</v>
      </c>
      <c r="J62" s="65">
        <f t="shared" si="10"/>
        <v>1232</v>
      </c>
      <c r="K62" s="66" t="str">
        <f t="shared" si="11"/>
        <v/>
      </c>
      <c r="L62" s="67">
        <v>9</v>
      </c>
    </row>
    <row r="63" ht="23.1" customHeight="1" spans="1:12">
      <c r="A63" s="102"/>
      <c r="B63" s="103" t="s">
        <v>148</v>
      </c>
      <c r="C63" s="104">
        <v>290</v>
      </c>
      <c r="D63" s="105">
        <v>8200</v>
      </c>
      <c r="E63" s="104"/>
      <c r="F63" s="106">
        <f t="shared" si="6"/>
        <v>9.37684630738523</v>
      </c>
      <c r="G63" s="65">
        <f t="shared" si="7"/>
        <v>7.37724550898204</v>
      </c>
      <c r="H63" s="66" t="str">
        <f t="shared" si="8"/>
        <v/>
      </c>
      <c r="I63" s="65">
        <f t="shared" si="9"/>
        <v>1725.11111111111</v>
      </c>
      <c r="J63" s="65">
        <f t="shared" si="10"/>
        <v>1232</v>
      </c>
      <c r="K63" s="66" t="str">
        <f t="shared" si="11"/>
        <v/>
      </c>
      <c r="L63" s="67">
        <v>9</v>
      </c>
    </row>
    <row r="64" ht="23.1" customHeight="1" spans="1:12">
      <c r="A64" s="102"/>
      <c r="B64" s="103" t="s">
        <v>146</v>
      </c>
      <c r="C64" s="104">
        <v>290</v>
      </c>
      <c r="D64" s="105">
        <v>8200</v>
      </c>
      <c r="E64" s="104"/>
      <c r="F64" s="106">
        <f t="shared" si="6"/>
        <v>9.37684630738523</v>
      </c>
      <c r="G64" s="65">
        <f t="shared" si="7"/>
        <v>7.37724550898204</v>
      </c>
      <c r="H64" s="66" t="str">
        <f t="shared" si="8"/>
        <v/>
      </c>
      <c r="I64" s="65">
        <f t="shared" si="9"/>
        <v>1725.11111111111</v>
      </c>
      <c r="J64" s="65">
        <f t="shared" si="10"/>
        <v>1232</v>
      </c>
      <c r="K64" s="66" t="str">
        <f t="shared" si="11"/>
        <v/>
      </c>
      <c r="L64" s="67">
        <v>9</v>
      </c>
    </row>
    <row r="65" ht="23.1" customHeight="1" spans="1:12">
      <c r="A65" s="102"/>
      <c r="B65" s="103" t="s">
        <v>154</v>
      </c>
      <c r="C65" s="104">
        <v>270</v>
      </c>
      <c r="D65" s="105">
        <v>8200</v>
      </c>
      <c r="E65" s="104"/>
      <c r="F65" s="106">
        <f t="shared" si="6"/>
        <v>8.97684630738523</v>
      </c>
      <c r="G65" s="65">
        <f t="shared" si="7"/>
        <v>7.37724550898204</v>
      </c>
      <c r="H65" s="66" t="str">
        <f t="shared" si="8"/>
        <v/>
      </c>
      <c r="I65" s="65">
        <f t="shared" si="9"/>
        <v>1647.33333333333</v>
      </c>
      <c r="J65" s="65">
        <f t="shared" si="10"/>
        <v>1232</v>
      </c>
      <c r="K65" s="66" t="str">
        <f t="shared" si="11"/>
        <v/>
      </c>
      <c r="L65" s="67"/>
    </row>
    <row r="66" ht="23.1" customHeight="1" spans="1:12">
      <c r="A66" s="102"/>
      <c r="B66" s="103" t="s">
        <v>150</v>
      </c>
      <c r="C66" s="104">
        <v>270</v>
      </c>
      <c r="D66" s="105">
        <v>8200</v>
      </c>
      <c r="E66" s="104"/>
      <c r="F66" s="106">
        <f t="shared" si="6"/>
        <v>8.97684630738523</v>
      </c>
      <c r="G66" s="65">
        <f t="shared" si="7"/>
        <v>7.37724550898204</v>
      </c>
      <c r="H66" s="66" t="str">
        <f t="shared" si="8"/>
        <v/>
      </c>
      <c r="I66" s="65">
        <f t="shared" si="9"/>
        <v>1647.33333333333</v>
      </c>
      <c r="J66" s="65">
        <f t="shared" si="10"/>
        <v>1232</v>
      </c>
      <c r="K66" s="66" t="str">
        <f t="shared" si="11"/>
        <v/>
      </c>
      <c r="L66" s="67">
        <v>9</v>
      </c>
    </row>
    <row r="67" ht="23.1" customHeight="1" spans="1:12">
      <c r="A67" s="102"/>
      <c r="B67" s="103" t="s">
        <v>151</v>
      </c>
      <c r="C67" s="104">
        <v>270</v>
      </c>
      <c r="D67" s="105">
        <v>8200</v>
      </c>
      <c r="E67" s="104"/>
      <c r="F67" s="106">
        <f t="shared" si="6"/>
        <v>8.97684630738523</v>
      </c>
      <c r="G67" s="65">
        <f t="shared" si="7"/>
        <v>7.37724550898204</v>
      </c>
      <c r="H67" s="66" t="str">
        <f t="shared" si="8"/>
        <v/>
      </c>
      <c r="I67" s="65">
        <f t="shared" si="9"/>
        <v>1647.33333333333</v>
      </c>
      <c r="J67" s="65">
        <f t="shared" si="10"/>
        <v>1232</v>
      </c>
      <c r="K67" s="66" t="str">
        <f t="shared" si="11"/>
        <v/>
      </c>
      <c r="L67" s="67"/>
    </row>
    <row r="68" ht="23.1" customHeight="1" spans="1:12">
      <c r="A68" s="102"/>
      <c r="B68" s="103" t="s">
        <v>152</v>
      </c>
      <c r="C68" s="104">
        <v>270</v>
      </c>
      <c r="D68" s="105">
        <v>8200</v>
      </c>
      <c r="E68" s="104"/>
      <c r="F68" s="106">
        <f t="shared" si="6"/>
        <v>8.97684630738523</v>
      </c>
      <c r="G68" s="65">
        <f t="shared" si="7"/>
        <v>7.37724550898204</v>
      </c>
      <c r="H68" s="66" t="str">
        <f t="shared" si="8"/>
        <v/>
      </c>
      <c r="I68" s="65">
        <f t="shared" si="9"/>
        <v>1647.33333333333</v>
      </c>
      <c r="J68" s="65">
        <f t="shared" si="10"/>
        <v>1232</v>
      </c>
      <c r="K68" s="66" t="str">
        <f t="shared" si="11"/>
        <v/>
      </c>
      <c r="L68" s="67"/>
    </row>
    <row r="69" ht="23.1" customHeight="1" spans="1:12">
      <c r="A69" s="102"/>
      <c r="B69" s="103" t="s">
        <v>274</v>
      </c>
      <c r="C69" s="104"/>
      <c r="D69" s="105">
        <v>8200</v>
      </c>
      <c r="E69" s="104"/>
      <c r="F69" s="106">
        <f t="shared" si="6"/>
        <v>3.57684630738523</v>
      </c>
      <c r="G69" s="65">
        <f t="shared" si="7"/>
        <v>7.37724550898204</v>
      </c>
      <c r="H69" s="66" t="str">
        <f t="shared" si="8"/>
        <v/>
      </c>
      <c r="I69" s="65">
        <f t="shared" si="9"/>
        <v>597.333333333333</v>
      </c>
      <c r="J69" s="65">
        <f t="shared" si="10"/>
        <v>1232</v>
      </c>
      <c r="K69" s="66" t="str">
        <f t="shared" si="11"/>
        <v/>
      </c>
      <c r="L69" s="67"/>
    </row>
    <row r="70" ht="23.1" customHeight="1" spans="1:12">
      <c r="A70" s="102"/>
      <c r="B70" s="103" t="s">
        <v>251</v>
      </c>
      <c r="C70" s="104"/>
      <c r="D70" s="105">
        <v>8200</v>
      </c>
      <c r="E70" s="104"/>
      <c r="F70" s="106">
        <f t="shared" si="6"/>
        <v>3.57684630738523</v>
      </c>
      <c r="G70" s="65">
        <f t="shared" si="7"/>
        <v>7.37724550898204</v>
      </c>
      <c r="H70" s="66" t="str">
        <f t="shared" si="8"/>
        <v/>
      </c>
      <c r="I70" s="65">
        <f t="shared" si="9"/>
        <v>597.333333333333</v>
      </c>
      <c r="J70" s="65">
        <f t="shared" si="10"/>
        <v>1232</v>
      </c>
      <c r="K70" s="66" t="str">
        <f t="shared" si="11"/>
        <v/>
      </c>
      <c r="L70" s="67"/>
    </row>
    <row r="71" ht="23.1" customHeight="1" spans="1:12">
      <c r="A71" s="102"/>
      <c r="B71" s="103" t="s">
        <v>155</v>
      </c>
      <c r="C71" s="104">
        <v>270</v>
      </c>
      <c r="D71" s="105">
        <v>8200</v>
      </c>
      <c r="E71" s="104"/>
      <c r="F71" s="106">
        <f t="shared" si="6"/>
        <v>8.97684630738523</v>
      </c>
      <c r="G71" s="65">
        <f t="shared" si="7"/>
        <v>7.37724550898204</v>
      </c>
      <c r="H71" s="66" t="str">
        <f t="shared" si="8"/>
        <v/>
      </c>
      <c r="I71" s="65">
        <f t="shared" si="9"/>
        <v>1647.33333333333</v>
      </c>
      <c r="J71" s="65">
        <f t="shared" si="10"/>
        <v>1232</v>
      </c>
      <c r="K71" s="66" t="str">
        <f t="shared" si="11"/>
        <v/>
      </c>
      <c r="L71" s="67">
        <v>9</v>
      </c>
    </row>
    <row r="72" ht="23.1" customHeight="1" spans="1:12">
      <c r="A72" s="102"/>
      <c r="B72" s="103" t="s">
        <v>158</v>
      </c>
      <c r="C72" s="104"/>
      <c r="D72" s="105">
        <v>8200</v>
      </c>
      <c r="E72" s="104"/>
      <c r="F72" s="106">
        <f t="shared" si="6"/>
        <v>3.57684630738523</v>
      </c>
      <c r="G72" s="65">
        <f t="shared" si="7"/>
        <v>7.37724550898204</v>
      </c>
      <c r="H72" s="66" t="str">
        <f t="shared" si="8"/>
        <v/>
      </c>
      <c r="I72" s="65">
        <f t="shared" si="9"/>
        <v>597.333333333333</v>
      </c>
      <c r="J72" s="65">
        <f t="shared" si="10"/>
        <v>1232</v>
      </c>
      <c r="K72" s="66" t="str">
        <f t="shared" si="11"/>
        <v/>
      </c>
      <c r="L72" s="67">
        <v>9</v>
      </c>
    </row>
    <row r="73" ht="23.1" customHeight="1" spans="1:12">
      <c r="A73" s="102"/>
      <c r="B73" s="103" t="s">
        <v>275</v>
      </c>
      <c r="C73" s="104"/>
      <c r="D73" s="105">
        <v>8200</v>
      </c>
      <c r="E73" s="104"/>
      <c r="F73" s="106">
        <f t="shared" si="6"/>
        <v>3.57684630738523</v>
      </c>
      <c r="G73" s="65">
        <f t="shared" si="7"/>
        <v>7.37724550898204</v>
      </c>
      <c r="H73" s="66" t="str">
        <f t="shared" si="8"/>
        <v/>
      </c>
      <c r="I73" s="65">
        <f t="shared" si="9"/>
        <v>597.333333333333</v>
      </c>
      <c r="J73" s="65">
        <f t="shared" si="10"/>
        <v>1232</v>
      </c>
      <c r="K73" s="66" t="str">
        <f t="shared" si="11"/>
        <v/>
      </c>
      <c r="L73" s="67"/>
    </row>
    <row r="74" ht="23.1" customHeight="1" spans="1:12">
      <c r="A74" s="102" t="s">
        <v>169</v>
      </c>
      <c r="B74" s="103" t="s">
        <v>82</v>
      </c>
      <c r="C74" s="104">
        <v>40</v>
      </c>
      <c r="D74" s="105"/>
      <c r="E74" s="104"/>
      <c r="F74" s="106">
        <f t="shared" si="6"/>
        <v>4.37684630738523</v>
      </c>
      <c r="G74" s="65" t="str">
        <f t="shared" si="7"/>
        <v/>
      </c>
      <c r="H74" s="66" t="str">
        <f t="shared" si="8"/>
        <v/>
      </c>
      <c r="I74" s="65">
        <f t="shared" si="9"/>
        <v>752.888888888889</v>
      </c>
      <c r="J74" s="65" t="str">
        <f t="shared" si="10"/>
        <v/>
      </c>
      <c r="K74" s="66" t="str">
        <f t="shared" si="11"/>
        <v/>
      </c>
      <c r="L74" s="67"/>
    </row>
    <row r="75" ht="23.1" customHeight="1" spans="1:12">
      <c r="A75" s="102"/>
      <c r="B75" s="103" t="s">
        <v>171</v>
      </c>
      <c r="C75" s="104">
        <v>60</v>
      </c>
      <c r="D75" s="105"/>
      <c r="E75" s="104"/>
      <c r="F75" s="106">
        <f t="shared" si="6"/>
        <v>4.77684630738523</v>
      </c>
      <c r="G75" s="65" t="str">
        <f t="shared" si="7"/>
        <v/>
      </c>
      <c r="H75" s="66" t="str">
        <f t="shared" si="8"/>
        <v/>
      </c>
      <c r="I75" s="65">
        <f t="shared" si="9"/>
        <v>830.666666666667</v>
      </c>
      <c r="J75" s="65"/>
      <c r="K75" s="66"/>
      <c r="L75" s="67">
        <v>5.7</v>
      </c>
    </row>
    <row r="76" ht="23.1" customHeight="1" spans="1:12">
      <c r="A76" s="102"/>
      <c r="B76" s="103" t="s">
        <v>276</v>
      </c>
      <c r="C76" s="104">
        <v>40</v>
      </c>
      <c r="D76" s="105"/>
      <c r="E76" s="104"/>
      <c r="F76" s="106">
        <f t="shared" si="6"/>
        <v>4.37684630738523</v>
      </c>
      <c r="G76" s="65" t="str">
        <f t="shared" si="7"/>
        <v/>
      </c>
      <c r="H76" s="66" t="str">
        <f t="shared" si="8"/>
        <v/>
      </c>
      <c r="I76" s="65">
        <f t="shared" si="9"/>
        <v>752.888888888889</v>
      </c>
      <c r="J76" s="65" t="str">
        <f t="shared" ref="J76:K78" si="12">IF(D76="","",($J$11-$H$7+D76)*$J$10/$B$12)</f>
        <v/>
      </c>
      <c r="K76" s="66" t="str">
        <f t="shared" si="12"/>
        <v/>
      </c>
      <c r="L76" s="67"/>
    </row>
    <row r="77" ht="23.1" customHeight="1" spans="1:12">
      <c r="A77" s="102"/>
      <c r="B77" s="103" t="s">
        <v>239</v>
      </c>
      <c r="C77" s="104">
        <v>40</v>
      </c>
      <c r="D77" s="105"/>
      <c r="E77" s="104"/>
      <c r="F77" s="106">
        <f t="shared" si="6"/>
        <v>4.37684630738523</v>
      </c>
      <c r="G77" s="65" t="str">
        <f t="shared" si="7"/>
        <v/>
      </c>
      <c r="H77" s="66" t="str">
        <f t="shared" si="8"/>
        <v/>
      </c>
      <c r="I77" s="65">
        <f t="shared" si="9"/>
        <v>752.888888888889</v>
      </c>
      <c r="J77" s="65" t="str">
        <f t="shared" si="12"/>
        <v/>
      </c>
      <c r="K77" s="66" t="str">
        <f t="shared" si="12"/>
        <v/>
      </c>
      <c r="L77" s="67"/>
    </row>
    <row r="78" ht="23.1" customHeight="1" spans="1:12">
      <c r="A78" s="102"/>
      <c r="B78" s="103" t="s">
        <v>172</v>
      </c>
      <c r="C78" s="104">
        <v>30</v>
      </c>
      <c r="D78" s="105"/>
      <c r="E78" s="104"/>
      <c r="F78" s="106">
        <f t="shared" ref="F78:F109" si="13">$J$12+(C78*$J$10/$L$10)</f>
        <v>4.17684630738523</v>
      </c>
      <c r="G78" s="65" t="str">
        <f t="shared" ref="G78:G109" si="14">IF(D78="","",($J$11-$H$7+D78)*$J$10/$H$12)</f>
        <v/>
      </c>
      <c r="H78" s="66" t="str">
        <f t="shared" ref="H78:H109" si="15">IF(E78="","",($J$11-$H$7+E78)*$J$10/$H$12)</f>
        <v/>
      </c>
      <c r="I78" s="65">
        <f t="shared" ref="I78:I109" si="16">$F$12+(C78*$J$10/$L$12)</f>
        <v>714</v>
      </c>
      <c r="J78" s="65" t="str">
        <f t="shared" si="12"/>
        <v/>
      </c>
      <c r="K78" s="66" t="str">
        <f t="shared" si="12"/>
        <v/>
      </c>
      <c r="L78" s="67">
        <v>5.6</v>
      </c>
    </row>
    <row r="79" ht="23.1" customHeight="1" spans="1:12">
      <c r="A79" s="102"/>
      <c r="B79" s="103" t="s">
        <v>266</v>
      </c>
      <c r="C79" s="104">
        <v>245</v>
      </c>
      <c r="D79" s="105"/>
      <c r="E79" s="104"/>
      <c r="F79" s="106">
        <f t="shared" si="13"/>
        <v>8.47684630738523</v>
      </c>
      <c r="G79" s="65" t="str">
        <f t="shared" si="14"/>
        <v/>
      </c>
      <c r="H79" s="66" t="str">
        <f t="shared" si="15"/>
        <v/>
      </c>
      <c r="I79" s="65">
        <f t="shared" si="16"/>
        <v>1550.11111111111</v>
      </c>
      <c r="J79" s="65"/>
      <c r="K79" s="66"/>
      <c r="L79" s="67"/>
    </row>
    <row r="80" ht="23.1" customHeight="1" spans="1:12">
      <c r="A80" s="102"/>
      <c r="B80" s="103" t="s">
        <v>277</v>
      </c>
      <c r="C80" s="104">
        <v>45</v>
      </c>
      <c r="D80" s="105"/>
      <c r="E80" s="104"/>
      <c r="F80" s="106">
        <f t="shared" si="13"/>
        <v>4.47684630738523</v>
      </c>
      <c r="G80" s="65" t="str">
        <f t="shared" si="14"/>
        <v/>
      </c>
      <c r="H80" s="66" t="str">
        <f t="shared" si="15"/>
        <v/>
      </c>
      <c r="I80" s="65">
        <f t="shared" si="16"/>
        <v>772.333333333333</v>
      </c>
      <c r="J80" s="65"/>
      <c r="K80" s="66"/>
      <c r="L80" s="67"/>
    </row>
    <row r="81" ht="23.1" customHeight="1" spans="1:12">
      <c r="A81" s="102"/>
      <c r="B81" s="103" t="s">
        <v>237</v>
      </c>
      <c r="C81" s="104">
        <v>40</v>
      </c>
      <c r="D81" s="105"/>
      <c r="E81" s="104"/>
      <c r="F81" s="106">
        <f t="shared" si="13"/>
        <v>4.37684630738523</v>
      </c>
      <c r="G81" s="65" t="str">
        <f t="shared" si="14"/>
        <v/>
      </c>
      <c r="H81" s="66" t="str">
        <f t="shared" si="15"/>
        <v/>
      </c>
      <c r="I81" s="65">
        <f t="shared" si="16"/>
        <v>752.888888888889</v>
      </c>
      <c r="J81" s="65" t="str">
        <f t="shared" ref="J81:J112" si="17">IF(D81="","",($J$11-$H$7+D81)*$J$10/$B$12)</f>
        <v/>
      </c>
      <c r="K81" s="66" t="str">
        <f t="shared" ref="K81:K112" si="18">IF(E81="","",($J$11-$H$7+E81)*$J$10/$B$12)</f>
        <v/>
      </c>
      <c r="L81" s="67"/>
    </row>
    <row r="82" ht="23.1" customHeight="1" spans="1:12">
      <c r="A82" s="102"/>
      <c r="B82" s="103" t="s">
        <v>278</v>
      </c>
      <c r="C82" s="104">
        <v>40</v>
      </c>
      <c r="D82" s="105"/>
      <c r="E82" s="104"/>
      <c r="F82" s="106">
        <f t="shared" si="13"/>
        <v>4.37684630738523</v>
      </c>
      <c r="G82" s="65" t="str">
        <f t="shared" si="14"/>
        <v/>
      </c>
      <c r="H82" s="66" t="str">
        <f t="shared" si="15"/>
        <v/>
      </c>
      <c r="I82" s="65">
        <f t="shared" si="16"/>
        <v>752.888888888889</v>
      </c>
      <c r="J82" s="65" t="str">
        <f t="shared" si="17"/>
        <v/>
      </c>
      <c r="K82" s="66" t="str">
        <f t="shared" si="18"/>
        <v/>
      </c>
      <c r="L82" s="67"/>
    </row>
    <row r="83" ht="23.1" customHeight="1" spans="1:12">
      <c r="A83" s="102"/>
      <c r="B83" s="103" t="s">
        <v>81</v>
      </c>
      <c r="C83" s="104">
        <v>40</v>
      </c>
      <c r="D83" s="105"/>
      <c r="E83" s="104"/>
      <c r="F83" s="106">
        <f t="shared" si="13"/>
        <v>4.37684630738523</v>
      </c>
      <c r="G83" s="65" t="str">
        <f t="shared" si="14"/>
        <v/>
      </c>
      <c r="H83" s="66" t="str">
        <f t="shared" si="15"/>
        <v/>
      </c>
      <c r="I83" s="65">
        <f t="shared" si="16"/>
        <v>752.888888888889</v>
      </c>
      <c r="J83" s="65" t="str">
        <f t="shared" si="17"/>
        <v/>
      </c>
      <c r="K83" s="66" t="str">
        <f t="shared" si="18"/>
        <v/>
      </c>
      <c r="L83" s="67"/>
    </row>
    <row r="84" ht="23.1" customHeight="1" spans="1:12">
      <c r="A84" s="102"/>
      <c r="B84" s="103" t="s">
        <v>279</v>
      </c>
      <c r="C84" s="104">
        <v>40</v>
      </c>
      <c r="D84" s="105"/>
      <c r="E84" s="104"/>
      <c r="F84" s="106">
        <f t="shared" si="13"/>
        <v>4.37684630738523</v>
      </c>
      <c r="G84" s="65" t="str">
        <f t="shared" si="14"/>
        <v/>
      </c>
      <c r="H84" s="66" t="str">
        <f t="shared" si="15"/>
        <v/>
      </c>
      <c r="I84" s="65">
        <f t="shared" si="16"/>
        <v>752.888888888889</v>
      </c>
      <c r="J84" s="65" t="str">
        <f t="shared" si="17"/>
        <v/>
      </c>
      <c r="K84" s="66" t="str">
        <f t="shared" si="18"/>
        <v/>
      </c>
      <c r="L84" s="67"/>
    </row>
    <row r="85" ht="23.1" customHeight="1" spans="1:12">
      <c r="A85" s="102"/>
      <c r="B85" s="103" t="s">
        <v>238</v>
      </c>
      <c r="C85" s="104">
        <v>40</v>
      </c>
      <c r="D85" s="105"/>
      <c r="E85" s="104"/>
      <c r="F85" s="106">
        <f t="shared" si="13"/>
        <v>4.37684630738523</v>
      </c>
      <c r="G85" s="65" t="str">
        <f t="shared" si="14"/>
        <v/>
      </c>
      <c r="H85" s="66" t="str">
        <f t="shared" si="15"/>
        <v/>
      </c>
      <c r="I85" s="65">
        <f t="shared" si="16"/>
        <v>752.888888888889</v>
      </c>
      <c r="J85" s="65" t="str">
        <f t="shared" si="17"/>
        <v/>
      </c>
      <c r="K85" s="66" t="str">
        <f t="shared" si="18"/>
        <v/>
      </c>
      <c r="L85" s="67"/>
    </row>
    <row r="86" ht="23.1" customHeight="1" spans="1:12">
      <c r="A86" s="102"/>
      <c r="B86" s="103" t="s">
        <v>189</v>
      </c>
      <c r="C86" s="104">
        <v>40</v>
      </c>
      <c r="D86" s="105"/>
      <c r="E86" s="104"/>
      <c r="F86" s="106">
        <f t="shared" si="13"/>
        <v>4.37684630738523</v>
      </c>
      <c r="G86" s="65" t="str">
        <f t="shared" si="14"/>
        <v/>
      </c>
      <c r="H86" s="66" t="str">
        <f t="shared" si="15"/>
        <v/>
      </c>
      <c r="I86" s="65">
        <f t="shared" si="16"/>
        <v>752.888888888889</v>
      </c>
      <c r="J86" s="65" t="str">
        <f t="shared" si="17"/>
        <v/>
      </c>
      <c r="K86" s="66" t="str">
        <f t="shared" si="18"/>
        <v/>
      </c>
      <c r="L86" s="67"/>
    </row>
    <row r="87" ht="23.1" customHeight="1" spans="1:12">
      <c r="A87" s="102"/>
      <c r="B87" s="103" t="s">
        <v>80</v>
      </c>
      <c r="C87" s="104">
        <v>40</v>
      </c>
      <c r="D87" s="105"/>
      <c r="E87" s="104"/>
      <c r="F87" s="106">
        <f t="shared" si="13"/>
        <v>4.37684630738523</v>
      </c>
      <c r="G87" s="65" t="str">
        <f t="shared" si="14"/>
        <v/>
      </c>
      <c r="H87" s="66" t="str">
        <f t="shared" si="15"/>
        <v/>
      </c>
      <c r="I87" s="65">
        <f t="shared" si="16"/>
        <v>752.888888888889</v>
      </c>
      <c r="J87" s="65" t="str">
        <f t="shared" si="17"/>
        <v/>
      </c>
      <c r="K87" s="66" t="str">
        <f t="shared" si="18"/>
        <v/>
      </c>
      <c r="L87" s="67"/>
    </row>
    <row r="88" ht="23.1" customHeight="1" spans="1:12">
      <c r="A88" s="102"/>
      <c r="B88" s="103" t="s">
        <v>280</v>
      </c>
      <c r="C88" s="104">
        <v>40</v>
      </c>
      <c r="D88" s="105"/>
      <c r="E88" s="104"/>
      <c r="F88" s="106">
        <f t="shared" si="13"/>
        <v>4.37684630738523</v>
      </c>
      <c r="G88" s="65" t="str">
        <f t="shared" si="14"/>
        <v/>
      </c>
      <c r="H88" s="66" t="str">
        <f t="shared" si="15"/>
        <v/>
      </c>
      <c r="I88" s="65">
        <f t="shared" si="16"/>
        <v>752.888888888889</v>
      </c>
      <c r="J88" s="65" t="str">
        <f t="shared" si="17"/>
        <v/>
      </c>
      <c r="K88" s="66" t="str">
        <f t="shared" si="18"/>
        <v/>
      </c>
      <c r="L88" s="67"/>
    </row>
    <row r="89" ht="23.1" customHeight="1" spans="1:12">
      <c r="A89" s="102"/>
      <c r="B89" s="103" t="s">
        <v>83</v>
      </c>
      <c r="C89" s="104">
        <v>40</v>
      </c>
      <c r="D89" s="105"/>
      <c r="E89" s="104"/>
      <c r="F89" s="106">
        <f t="shared" si="13"/>
        <v>4.37684630738523</v>
      </c>
      <c r="G89" s="65" t="str">
        <f t="shared" si="14"/>
        <v/>
      </c>
      <c r="H89" s="66" t="str">
        <f t="shared" si="15"/>
        <v/>
      </c>
      <c r="I89" s="65">
        <f t="shared" si="16"/>
        <v>752.888888888889</v>
      </c>
      <c r="J89" s="65" t="str">
        <f t="shared" si="17"/>
        <v/>
      </c>
      <c r="K89" s="66" t="str">
        <f t="shared" si="18"/>
        <v/>
      </c>
      <c r="L89" s="67">
        <v>5.4</v>
      </c>
    </row>
    <row r="90" ht="23.1" customHeight="1" spans="1:12">
      <c r="A90" s="102"/>
      <c r="B90" s="103" t="s">
        <v>170</v>
      </c>
      <c r="C90" s="104">
        <v>45</v>
      </c>
      <c r="D90" s="105"/>
      <c r="E90" s="104"/>
      <c r="F90" s="106">
        <f t="shared" si="13"/>
        <v>4.47684630738523</v>
      </c>
      <c r="G90" s="65" t="str">
        <f t="shared" si="14"/>
        <v/>
      </c>
      <c r="H90" s="66" t="str">
        <f t="shared" si="15"/>
        <v/>
      </c>
      <c r="I90" s="65">
        <f t="shared" si="16"/>
        <v>772.333333333333</v>
      </c>
      <c r="J90" s="65" t="str">
        <f t="shared" si="17"/>
        <v/>
      </c>
      <c r="K90" s="66" t="str">
        <f t="shared" si="18"/>
        <v/>
      </c>
      <c r="L90" s="67"/>
    </row>
    <row r="91" ht="23.1" customHeight="1" spans="1:12">
      <c r="A91" s="102"/>
      <c r="B91" s="103" t="s">
        <v>84</v>
      </c>
      <c r="C91" s="104">
        <v>45</v>
      </c>
      <c r="D91" s="105"/>
      <c r="E91" s="104"/>
      <c r="F91" s="106">
        <f t="shared" si="13"/>
        <v>4.47684630738523</v>
      </c>
      <c r="G91" s="65" t="str">
        <f t="shared" si="14"/>
        <v/>
      </c>
      <c r="H91" s="66" t="str">
        <f t="shared" si="15"/>
        <v/>
      </c>
      <c r="I91" s="65">
        <f t="shared" si="16"/>
        <v>772.333333333333</v>
      </c>
      <c r="J91" s="65" t="str">
        <f t="shared" si="17"/>
        <v/>
      </c>
      <c r="K91" s="66" t="str">
        <f t="shared" si="18"/>
        <v/>
      </c>
      <c r="L91" s="67">
        <v>5.4</v>
      </c>
    </row>
    <row r="92" ht="23.1" customHeight="1" spans="1:12">
      <c r="A92" s="102"/>
      <c r="B92" s="103" t="s">
        <v>159</v>
      </c>
      <c r="C92" s="104">
        <v>270</v>
      </c>
      <c r="D92" s="105"/>
      <c r="E92" s="104"/>
      <c r="F92" s="106">
        <f t="shared" si="13"/>
        <v>8.97684630738523</v>
      </c>
      <c r="G92" s="65" t="str">
        <f t="shared" si="14"/>
        <v/>
      </c>
      <c r="H92" s="66" t="str">
        <f t="shared" si="15"/>
        <v/>
      </c>
      <c r="I92" s="65">
        <f t="shared" si="16"/>
        <v>1647.33333333333</v>
      </c>
      <c r="J92" s="65" t="str">
        <f t="shared" si="17"/>
        <v/>
      </c>
      <c r="K92" s="66" t="str">
        <f t="shared" si="18"/>
        <v/>
      </c>
      <c r="L92" s="67"/>
    </row>
    <row r="93" ht="23.1" customHeight="1" spans="1:12">
      <c r="A93" s="102"/>
      <c r="B93" s="103" t="s">
        <v>165</v>
      </c>
      <c r="C93" s="104">
        <v>300</v>
      </c>
      <c r="D93" s="105"/>
      <c r="E93" s="104"/>
      <c r="F93" s="106">
        <f t="shared" si="13"/>
        <v>9.57684630738523</v>
      </c>
      <c r="G93" s="65" t="str">
        <f t="shared" si="14"/>
        <v/>
      </c>
      <c r="H93" s="66" t="str">
        <f t="shared" si="15"/>
        <v/>
      </c>
      <c r="I93" s="65">
        <f t="shared" si="16"/>
        <v>1764</v>
      </c>
      <c r="J93" s="65" t="str">
        <f t="shared" si="17"/>
        <v/>
      </c>
      <c r="K93" s="66" t="str">
        <f t="shared" si="18"/>
        <v/>
      </c>
      <c r="L93" s="67"/>
    </row>
    <row r="94" ht="23.1" customHeight="1" spans="1:12">
      <c r="A94" s="102"/>
      <c r="B94" s="103" t="s">
        <v>281</v>
      </c>
      <c r="C94" s="104">
        <v>40</v>
      </c>
      <c r="D94" s="105"/>
      <c r="E94" s="104"/>
      <c r="F94" s="106">
        <f t="shared" si="13"/>
        <v>4.37684630738523</v>
      </c>
      <c r="G94" s="65" t="str">
        <f t="shared" si="14"/>
        <v/>
      </c>
      <c r="H94" s="66" t="str">
        <f t="shared" si="15"/>
        <v/>
      </c>
      <c r="I94" s="65">
        <f t="shared" si="16"/>
        <v>752.888888888889</v>
      </c>
      <c r="J94" s="65" t="str">
        <f t="shared" si="17"/>
        <v/>
      </c>
      <c r="K94" s="66" t="str">
        <f t="shared" si="18"/>
        <v/>
      </c>
      <c r="L94" s="67"/>
    </row>
    <row r="95" ht="23.1" customHeight="1" spans="1:12">
      <c r="A95" s="102"/>
      <c r="B95" s="103" t="s">
        <v>85</v>
      </c>
      <c r="C95" s="104">
        <v>40</v>
      </c>
      <c r="D95" s="105"/>
      <c r="E95" s="104"/>
      <c r="F95" s="106">
        <f t="shared" si="13"/>
        <v>4.37684630738523</v>
      </c>
      <c r="G95" s="65" t="str">
        <f t="shared" si="14"/>
        <v/>
      </c>
      <c r="H95" s="66" t="str">
        <f t="shared" si="15"/>
        <v/>
      </c>
      <c r="I95" s="65">
        <f t="shared" si="16"/>
        <v>752.888888888889</v>
      </c>
      <c r="J95" s="65" t="str">
        <f t="shared" si="17"/>
        <v/>
      </c>
      <c r="K95" s="66" t="str">
        <f t="shared" si="18"/>
        <v/>
      </c>
      <c r="L95" s="67">
        <v>5.4</v>
      </c>
    </row>
    <row r="96" ht="23.1" customHeight="1" spans="1:12">
      <c r="A96" s="102"/>
      <c r="B96" s="103" t="s">
        <v>194</v>
      </c>
      <c r="C96" s="104">
        <v>75</v>
      </c>
      <c r="D96" s="105"/>
      <c r="E96" s="104"/>
      <c r="F96" s="106">
        <f t="shared" si="13"/>
        <v>5.07684630738523</v>
      </c>
      <c r="G96" s="65" t="str">
        <f t="shared" si="14"/>
        <v/>
      </c>
      <c r="H96" s="66" t="str">
        <f t="shared" si="15"/>
        <v/>
      </c>
      <c r="I96" s="65">
        <f t="shared" si="16"/>
        <v>889</v>
      </c>
      <c r="J96" s="65" t="str">
        <f t="shared" si="17"/>
        <v/>
      </c>
      <c r="K96" s="66" t="str">
        <f t="shared" si="18"/>
        <v/>
      </c>
      <c r="L96" s="67"/>
    </row>
    <row r="97" ht="23.1" customHeight="1" spans="1:12">
      <c r="A97" s="102"/>
      <c r="B97" s="103" t="s">
        <v>241</v>
      </c>
      <c r="C97" s="104">
        <v>75</v>
      </c>
      <c r="D97" s="105"/>
      <c r="E97" s="104"/>
      <c r="F97" s="106">
        <f t="shared" si="13"/>
        <v>5.07684630738523</v>
      </c>
      <c r="G97" s="65" t="str">
        <f t="shared" si="14"/>
        <v/>
      </c>
      <c r="H97" s="66" t="str">
        <f t="shared" si="15"/>
        <v/>
      </c>
      <c r="I97" s="65">
        <f t="shared" si="16"/>
        <v>889</v>
      </c>
      <c r="J97" s="65" t="str">
        <f t="shared" si="17"/>
        <v/>
      </c>
      <c r="K97" s="66" t="str">
        <f t="shared" si="18"/>
        <v/>
      </c>
      <c r="L97" s="67"/>
    </row>
    <row r="98" ht="23.1" customHeight="1" spans="1:12">
      <c r="A98" s="102"/>
      <c r="B98" s="103" t="s">
        <v>247</v>
      </c>
      <c r="C98" s="104">
        <v>75</v>
      </c>
      <c r="D98" s="105"/>
      <c r="E98" s="104"/>
      <c r="F98" s="106">
        <f t="shared" si="13"/>
        <v>5.07684630738523</v>
      </c>
      <c r="G98" s="65" t="str">
        <f t="shared" si="14"/>
        <v/>
      </c>
      <c r="H98" s="66" t="str">
        <f t="shared" si="15"/>
        <v/>
      </c>
      <c r="I98" s="65">
        <f t="shared" si="16"/>
        <v>889</v>
      </c>
      <c r="J98" s="65" t="str">
        <f t="shared" si="17"/>
        <v/>
      </c>
      <c r="K98" s="66" t="str">
        <f t="shared" si="18"/>
        <v/>
      </c>
      <c r="L98" s="67">
        <v>5.7</v>
      </c>
    </row>
    <row r="99" ht="23.1" customHeight="1" spans="1:12">
      <c r="A99" s="102"/>
      <c r="B99" s="103" t="s">
        <v>282</v>
      </c>
      <c r="C99" s="104">
        <v>80</v>
      </c>
      <c r="D99" s="105"/>
      <c r="E99" s="104"/>
      <c r="F99" s="106">
        <f t="shared" si="13"/>
        <v>5.17684630738523</v>
      </c>
      <c r="G99" s="65" t="str">
        <f t="shared" si="14"/>
        <v/>
      </c>
      <c r="H99" s="66" t="str">
        <f t="shared" si="15"/>
        <v/>
      </c>
      <c r="I99" s="65">
        <f t="shared" si="16"/>
        <v>908.444444444444</v>
      </c>
      <c r="J99" s="65" t="str">
        <f t="shared" si="17"/>
        <v/>
      </c>
      <c r="K99" s="66" t="str">
        <f t="shared" si="18"/>
        <v/>
      </c>
      <c r="L99" s="67"/>
    </row>
    <row r="100" ht="23.1" customHeight="1" spans="1:12">
      <c r="A100" s="102"/>
      <c r="B100" s="103" t="s">
        <v>92</v>
      </c>
      <c r="C100" s="104">
        <v>80</v>
      </c>
      <c r="D100" s="105"/>
      <c r="E100" s="104"/>
      <c r="F100" s="106">
        <f t="shared" si="13"/>
        <v>5.17684630738523</v>
      </c>
      <c r="G100" s="65" t="str">
        <f t="shared" si="14"/>
        <v/>
      </c>
      <c r="H100" s="66" t="str">
        <f t="shared" si="15"/>
        <v/>
      </c>
      <c r="I100" s="65">
        <f t="shared" si="16"/>
        <v>908.444444444444</v>
      </c>
      <c r="J100" s="65" t="str">
        <f t="shared" si="17"/>
        <v/>
      </c>
      <c r="K100" s="66" t="str">
        <f t="shared" si="18"/>
        <v/>
      </c>
      <c r="L100" s="67"/>
    </row>
    <row r="101" ht="23.1" customHeight="1" spans="1:12">
      <c r="A101" s="102"/>
      <c r="B101" s="103" t="s">
        <v>242</v>
      </c>
      <c r="C101" s="104">
        <v>80</v>
      </c>
      <c r="D101" s="105"/>
      <c r="E101" s="104"/>
      <c r="F101" s="106">
        <f t="shared" si="13"/>
        <v>5.17684630738523</v>
      </c>
      <c r="G101" s="65" t="str">
        <f t="shared" si="14"/>
        <v/>
      </c>
      <c r="H101" s="66" t="str">
        <f t="shared" si="15"/>
        <v/>
      </c>
      <c r="I101" s="65">
        <f t="shared" si="16"/>
        <v>908.444444444444</v>
      </c>
      <c r="J101" s="65" t="str">
        <f t="shared" si="17"/>
        <v/>
      </c>
      <c r="K101" s="66" t="str">
        <f t="shared" si="18"/>
        <v/>
      </c>
      <c r="L101" s="67"/>
    </row>
    <row r="102" ht="23.1" customHeight="1" spans="1:12">
      <c r="A102" s="102"/>
      <c r="B102" s="103" t="s">
        <v>246</v>
      </c>
      <c r="C102" s="104">
        <v>75</v>
      </c>
      <c r="D102" s="105"/>
      <c r="E102" s="104"/>
      <c r="F102" s="106">
        <f t="shared" si="13"/>
        <v>5.07684630738523</v>
      </c>
      <c r="G102" s="65" t="str">
        <f t="shared" si="14"/>
        <v/>
      </c>
      <c r="H102" s="66" t="str">
        <f t="shared" si="15"/>
        <v/>
      </c>
      <c r="I102" s="65">
        <f t="shared" si="16"/>
        <v>889</v>
      </c>
      <c r="J102" s="65" t="str">
        <f t="shared" si="17"/>
        <v/>
      </c>
      <c r="K102" s="66" t="str">
        <f t="shared" si="18"/>
        <v/>
      </c>
      <c r="L102" s="67"/>
    </row>
    <row r="103" ht="23.1" customHeight="1" spans="1:12">
      <c r="A103" s="102"/>
      <c r="B103" s="103" t="s">
        <v>90</v>
      </c>
      <c r="C103" s="104">
        <v>75</v>
      </c>
      <c r="D103" s="105"/>
      <c r="E103" s="104"/>
      <c r="F103" s="106">
        <f t="shared" si="13"/>
        <v>5.07684630738523</v>
      </c>
      <c r="G103" s="65" t="str">
        <f t="shared" si="14"/>
        <v/>
      </c>
      <c r="H103" s="66" t="str">
        <f t="shared" si="15"/>
        <v/>
      </c>
      <c r="I103" s="65">
        <f t="shared" si="16"/>
        <v>889</v>
      </c>
      <c r="J103" s="65" t="str">
        <f t="shared" si="17"/>
        <v/>
      </c>
      <c r="K103" s="66" t="str">
        <f t="shared" si="18"/>
        <v/>
      </c>
      <c r="L103" s="67"/>
    </row>
    <row r="104" ht="23.1" customHeight="1" spans="1:12">
      <c r="A104" s="102"/>
      <c r="B104" s="103" t="s">
        <v>190</v>
      </c>
      <c r="C104" s="104">
        <v>75</v>
      </c>
      <c r="D104" s="105"/>
      <c r="E104" s="104"/>
      <c r="F104" s="106">
        <f t="shared" si="13"/>
        <v>5.07684630738523</v>
      </c>
      <c r="G104" s="65" t="str">
        <f t="shared" si="14"/>
        <v/>
      </c>
      <c r="H104" s="66" t="str">
        <f t="shared" si="15"/>
        <v/>
      </c>
      <c r="I104" s="65">
        <f t="shared" si="16"/>
        <v>889</v>
      </c>
      <c r="J104" s="65" t="str">
        <f t="shared" si="17"/>
        <v/>
      </c>
      <c r="K104" s="66" t="str">
        <f t="shared" si="18"/>
        <v/>
      </c>
      <c r="L104" s="67"/>
    </row>
    <row r="105" ht="23.1" customHeight="1" spans="1:12">
      <c r="A105" s="102"/>
      <c r="B105" s="103" t="s">
        <v>188</v>
      </c>
      <c r="C105" s="104">
        <v>70</v>
      </c>
      <c r="D105" s="105"/>
      <c r="E105" s="104">
        <v>2050</v>
      </c>
      <c r="F105" s="106">
        <f t="shared" si="13"/>
        <v>4.97684630738523</v>
      </c>
      <c r="G105" s="65" t="str">
        <f t="shared" si="14"/>
        <v/>
      </c>
      <c r="H105" s="66">
        <f t="shared" si="15"/>
        <v>3.94011976047904</v>
      </c>
      <c r="I105" s="65">
        <f t="shared" si="16"/>
        <v>869.555555555556</v>
      </c>
      <c r="J105" s="65" t="str">
        <f t="shared" si="17"/>
        <v/>
      </c>
      <c r="K105" s="66">
        <f t="shared" si="18"/>
        <v>658</v>
      </c>
      <c r="L105" s="67"/>
    </row>
    <row r="106" ht="23.1" customHeight="1" spans="1:12">
      <c r="A106" s="102"/>
      <c r="B106" s="103" t="s">
        <v>193</v>
      </c>
      <c r="C106" s="104">
        <v>70</v>
      </c>
      <c r="D106" s="105"/>
      <c r="E106" s="104"/>
      <c r="F106" s="106">
        <f t="shared" si="13"/>
        <v>4.97684630738523</v>
      </c>
      <c r="G106" s="65" t="str">
        <f t="shared" si="14"/>
        <v/>
      </c>
      <c r="H106" s="66" t="str">
        <f t="shared" si="15"/>
        <v/>
      </c>
      <c r="I106" s="65">
        <f t="shared" si="16"/>
        <v>869.555555555556</v>
      </c>
      <c r="J106" s="65" t="str">
        <f t="shared" si="17"/>
        <v/>
      </c>
      <c r="K106" s="66" t="str">
        <f t="shared" si="18"/>
        <v/>
      </c>
      <c r="L106" s="67"/>
    </row>
    <row r="107" ht="23.1" customHeight="1" spans="1:12">
      <c r="A107" s="102"/>
      <c r="B107" s="103" t="s">
        <v>283</v>
      </c>
      <c r="C107" s="104">
        <v>75</v>
      </c>
      <c r="D107" s="105"/>
      <c r="E107" s="104"/>
      <c r="F107" s="106">
        <f t="shared" si="13"/>
        <v>5.07684630738523</v>
      </c>
      <c r="G107" s="65" t="str">
        <f t="shared" si="14"/>
        <v/>
      </c>
      <c r="H107" s="66" t="str">
        <f t="shared" si="15"/>
        <v/>
      </c>
      <c r="I107" s="65">
        <f t="shared" si="16"/>
        <v>889</v>
      </c>
      <c r="J107" s="65" t="str">
        <f t="shared" si="17"/>
        <v/>
      </c>
      <c r="K107" s="66" t="str">
        <f t="shared" si="18"/>
        <v/>
      </c>
      <c r="L107" s="67"/>
    </row>
    <row r="108" ht="23.1" customHeight="1" spans="1:12">
      <c r="A108" s="102"/>
      <c r="B108" s="103" t="s">
        <v>191</v>
      </c>
      <c r="C108" s="104">
        <v>75</v>
      </c>
      <c r="D108" s="105"/>
      <c r="E108" s="104"/>
      <c r="F108" s="106">
        <f t="shared" si="13"/>
        <v>5.07684630738523</v>
      </c>
      <c r="G108" s="65" t="str">
        <f t="shared" si="14"/>
        <v/>
      </c>
      <c r="H108" s="66" t="str">
        <f t="shared" si="15"/>
        <v/>
      </c>
      <c r="I108" s="65">
        <f t="shared" si="16"/>
        <v>889</v>
      </c>
      <c r="J108" s="65" t="str">
        <f t="shared" si="17"/>
        <v/>
      </c>
      <c r="K108" s="66" t="str">
        <f t="shared" si="18"/>
        <v/>
      </c>
      <c r="L108" s="67"/>
    </row>
    <row r="109" ht="23.1" customHeight="1" spans="1:12">
      <c r="A109" s="102"/>
      <c r="B109" s="103" t="s">
        <v>240</v>
      </c>
      <c r="C109" s="104">
        <v>75</v>
      </c>
      <c r="D109" s="105"/>
      <c r="E109" s="104"/>
      <c r="F109" s="106">
        <f t="shared" si="13"/>
        <v>5.07684630738523</v>
      </c>
      <c r="G109" s="65" t="str">
        <f t="shared" si="14"/>
        <v/>
      </c>
      <c r="H109" s="66" t="str">
        <f t="shared" si="15"/>
        <v/>
      </c>
      <c r="I109" s="65">
        <f t="shared" si="16"/>
        <v>889</v>
      </c>
      <c r="J109" s="65" t="str">
        <f t="shared" si="17"/>
        <v/>
      </c>
      <c r="K109" s="66" t="str">
        <f t="shared" si="18"/>
        <v/>
      </c>
      <c r="L109" s="67"/>
    </row>
    <row r="110" ht="23.1" customHeight="1" spans="1:12">
      <c r="A110" s="102"/>
      <c r="B110" s="103" t="s">
        <v>192</v>
      </c>
      <c r="C110" s="104">
        <v>75</v>
      </c>
      <c r="D110" s="105"/>
      <c r="E110" s="104"/>
      <c r="F110" s="106">
        <f t="shared" ref="F110:F141" si="19">$J$12+(C110*$J$10/$L$10)</f>
        <v>5.07684630738523</v>
      </c>
      <c r="G110" s="65" t="str">
        <f t="shared" ref="G110:G141" si="20">IF(D110="","",($J$11-$H$7+D110)*$J$10/$H$12)</f>
        <v/>
      </c>
      <c r="H110" s="66" t="str">
        <f t="shared" ref="H110:H141" si="21">IF(E110="","",($J$11-$H$7+E110)*$J$10/$H$12)</f>
        <v/>
      </c>
      <c r="I110" s="65">
        <f t="shared" ref="I110:I141" si="22">$F$12+(C110*$J$10/$L$12)</f>
        <v>889</v>
      </c>
      <c r="J110" s="65" t="str">
        <f t="shared" si="17"/>
        <v/>
      </c>
      <c r="K110" s="66" t="str">
        <f t="shared" si="18"/>
        <v/>
      </c>
      <c r="L110" s="67"/>
    </row>
    <row r="111" ht="23.1" customHeight="1" spans="1:12">
      <c r="A111" s="102"/>
      <c r="B111" s="103" t="s">
        <v>198</v>
      </c>
      <c r="C111" s="104">
        <v>180</v>
      </c>
      <c r="D111" s="105"/>
      <c r="E111" s="104"/>
      <c r="F111" s="106">
        <f t="shared" si="19"/>
        <v>7.17684630738523</v>
      </c>
      <c r="G111" s="65" t="str">
        <f t="shared" si="20"/>
        <v/>
      </c>
      <c r="H111" s="66" t="str">
        <f t="shared" si="21"/>
        <v/>
      </c>
      <c r="I111" s="65">
        <f t="shared" si="22"/>
        <v>1297.33333333333</v>
      </c>
      <c r="J111" s="65" t="str">
        <f t="shared" si="17"/>
        <v/>
      </c>
      <c r="K111" s="66" t="str">
        <f t="shared" si="18"/>
        <v/>
      </c>
      <c r="L111" s="67"/>
    </row>
    <row r="112" ht="23.1" customHeight="1" spans="1:12">
      <c r="A112" s="102"/>
      <c r="B112" s="103" t="s">
        <v>245</v>
      </c>
      <c r="C112" s="104">
        <v>180</v>
      </c>
      <c r="D112" s="105"/>
      <c r="E112" s="104"/>
      <c r="F112" s="106">
        <f t="shared" si="19"/>
        <v>7.17684630738523</v>
      </c>
      <c r="G112" s="65" t="str">
        <f t="shared" si="20"/>
        <v/>
      </c>
      <c r="H112" s="66" t="str">
        <f t="shared" si="21"/>
        <v/>
      </c>
      <c r="I112" s="65">
        <f t="shared" si="22"/>
        <v>1297.33333333333</v>
      </c>
      <c r="J112" s="65" t="str">
        <f t="shared" si="17"/>
        <v/>
      </c>
      <c r="K112" s="66" t="str">
        <f t="shared" si="18"/>
        <v/>
      </c>
      <c r="L112" s="67"/>
    </row>
    <row r="113" ht="23.1" customHeight="1" spans="1:12">
      <c r="A113" s="102"/>
      <c r="B113" s="103" t="s">
        <v>202</v>
      </c>
      <c r="C113" s="104">
        <v>180</v>
      </c>
      <c r="D113" s="105"/>
      <c r="E113" s="104"/>
      <c r="F113" s="106">
        <f t="shared" si="19"/>
        <v>7.17684630738523</v>
      </c>
      <c r="G113" s="65" t="str">
        <f t="shared" si="20"/>
        <v/>
      </c>
      <c r="H113" s="66" t="str">
        <f t="shared" si="21"/>
        <v/>
      </c>
      <c r="I113" s="65">
        <f t="shared" si="22"/>
        <v>1297.33333333333</v>
      </c>
      <c r="J113" s="65" t="str">
        <f t="shared" ref="J113:J132" si="23">IF(D113="","",($J$11-$H$7+D113)*$J$10/$B$12)</f>
        <v/>
      </c>
      <c r="K113" s="66" t="str">
        <f t="shared" ref="K113:K132" si="24">IF(E113="","",($J$11-$H$7+E113)*$J$10/$B$12)</f>
        <v/>
      </c>
      <c r="L113" s="67"/>
    </row>
    <row r="114" ht="23.1" customHeight="1" spans="1:12">
      <c r="A114" s="102"/>
      <c r="B114" s="103" t="s">
        <v>256</v>
      </c>
      <c r="C114" s="104">
        <v>180</v>
      </c>
      <c r="D114" s="105"/>
      <c r="E114" s="104"/>
      <c r="F114" s="106">
        <f t="shared" si="19"/>
        <v>7.17684630738523</v>
      </c>
      <c r="G114" s="65" t="str">
        <f t="shared" si="20"/>
        <v/>
      </c>
      <c r="H114" s="66" t="str">
        <f t="shared" si="21"/>
        <v/>
      </c>
      <c r="I114" s="65">
        <f t="shared" si="22"/>
        <v>1297.33333333333</v>
      </c>
      <c r="J114" s="65" t="str">
        <f t="shared" si="23"/>
        <v/>
      </c>
      <c r="K114" s="66" t="str">
        <f t="shared" si="24"/>
        <v/>
      </c>
      <c r="L114" s="67"/>
    </row>
    <row r="115" ht="23.1" customHeight="1" spans="1:12">
      <c r="A115" s="102"/>
      <c r="B115" s="103" t="s">
        <v>206</v>
      </c>
      <c r="C115" s="104">
        <v>200</v>
      </c>
      <c r="D115" s="105"/>
      <c r="E115" s="104"/>
      <c r="F115" s="106">
        <f t="shared" si="19"/>
        <v>7.57684630738523</v>
      </c>
      <c r="G115" s="65" t="str">
        <f t="shared" si="20"/>
        <v/>
      </c>
      <c r="H115" s="66" t="str">
        <f t="shared" si="21"/>
        <v/>
      </c>
      <c r="I115" s="65">
        <f t="shared" si="22"/>
        <v>1375.11111111111</v>
      </c>
      <c r="J115" s="65" t="str">
        <f t="shared" si="23"/>
        <v/>
      </c>
      <c r="K115" s="66" t="str">
        <f t="shared" si="24"/>
        <v/>
      </c>
      <c r="L115" s="67"/>
    </row>
    <row r="116" ht="23.1" customHeight="1" spans="1:12">
      <c r="A116" s="102"/>
      <c r="B116" s="103" t="s">
        <v>255</v>
      </c>
      <c r="C116" s="104">
        <v>200</v>
      </c>
      <c r="D116" s="105"/>
      <c r="E116" s="104"/>
      <c r="F116" s="106">
        <f t="shared" si="19"/>
        <v>7.57684630738523</v>
      </c>
      <c r="G116" s="65" t="str">
        <f t="shared" si="20"/>
        <v/>
      </c>
      <c r="H116" s="66" t="str">
        <f t="shared" si="21"/>
        <v/>
      </c>
      <c r="I116" s="65">
        <f t="shared" si="22"/>
        <v>1375.11111111111</v>
      </c>
      <c r="J116" s="65" t="str">
        <f t="shared" si="23"/>
        <v/>
      </c>
      <c r="K116" s="66" t="str">
        <f t="shared" si="24"/>
        <v/>
      </c>
      <c r="L116" s="67"/>
    </row>
    <row r="117" ht="23.1" customHeight="1" spans="1:12">
      <c r="A117" s="102"/>
      <c r="B117" s="103" t="s">
        <v>91</v>
      </c>
      <c r="C117" s="104">
        <v>75</v>
      </c>
      <c r="D117" s="105"/>
      <c r="E117" s="104">
        <v>2250</v>
      </c>
      <c r="F117" s="106">
        <f t="shared" si="19"/>
        <v>5.07684630738523</v>
      </c>
      <c r="G117" s="65" t="str">
        <f t="shared" si="20"/>
        <v/>
      </c>
      <c r="H117" s="66">
        <f t="shared" si="21"/>
        <v>4.05189620758483</v>
      </c>
      <c r="I117" s="65">
        <f t="shared" si="22"/>
        <v>889</v>
      </c>
      <c r="J117" s="65" t="str">
        <f t="shared" si="23"/>
        <v/>
      </c>
      <c r="K117" s="66">
        <f t="shared" si="24"/>
        <v>676.666666666667</v>
      </c>
      <c r="L117" s="67"/>
    </row>
    <row r="118" ht="23.1" customHeight="1" spans="1:12">
      <c r="A118" s="102"/>
      <c r="B118" s="103" t="s">
        <v>284</v>
      </c>
      <c r="C118" s="104">
        <v>75</v>
      </c>
      <c r="D118" s="105"/>
      <c r="E118" s="104"/>
      <c r="F118" s="106">
        <f t="shared" si="19"/>
        <v>5.07684630738523</v>
      </c>
      <c r="G118" s="65" t="str">
        <f t="shared" si="20"/>
        <v/>
      </c>
      <c r="H118" s="66" t="str">
        <f t="shared" si="21"/>
        <v/>
      </c>
      <c r="I118" s="65">
        <f t="shared" si="22"/>
        <v>889</v>
      </c>
      <c r="J118" s="65" t="str">
        <f t="shared" si="23"/>
        <v/>
      </c>
      <c r="K118" s="66" t="str">
        <f t="shared" si="24"/>
        <v/>
      </c>
      <c r="L118" s="67"/>
    </row>
    <row r="119" ht="23.1" customHeight="1" spans="1:12">
      <c r="A119" s="102"/>
      <c r="B119" s="103" t="s">
        <v>117</v>
      </c>
      <c r="C119" s="104">
        <v>130</v>
      </c>
      <c r="D119" s="105"/>
      <c r="E119" s="104"/>
      <c r="F119" s="106">
        <f t="shared" si="19"/>
        <v>6.17684630738523</v>
      </c>
      <c r="G119" s="65" t="str">
        <f t="shared" si="20"/>
        <v/>
      </c>
      <c r="H119" s="66" t="str">
        <f t="shared" si="21"/>
        <v/>
      </c>
      <c r="I119" s="65">
        <f t="shared" si="22"/>
        <v>1102.88888888889</v>
      </c>
      <c r="J119" s="65" t="str">
        <f t="shared" si="23"/>
        <v/>
      </c>
      <c r="K119" s="66" t="str">
        <f t="shared" si="24"/>
        <v/>
      </c>
      <c r="L119" s="67"/>
    </row>
    <row r="120" ht="23.1" customHeight="1" spans="1:12">
      <c r="A120" s="102"/>
      <c r="B120" s="103" t="s">
        <v>114</v>
      </c>
      <c r="C120" s="104">
        <v>140</v>
      </c>
      <c r="D120" s="105"/>
      <c r="E120" s="104"/>
      <c r="F120" s="106">
        <f t="shared" si="19"/>
        <v>6.37684630738523</v>
      </c>
      <c r="G120" s="65" t="str">
        <f t="shared" si="20"/>
        <v/>
      </c>
      <c r="H120" s="66" t="str">
        <f t="shared" si="21"/>
        <v/>
      </c>
      <c r="I120" s="65">
        <f t="shared" si="22"/>
        <v>1141.77777777778</v>
      </c>
      <c r="J120" s="65" t="str">
        <f t="shared" si="23"/>
        <v/>
      </c>
      <c r="K120" s="66" t="str">
        <f t="shared" si="24"/>
        <v/>
      </c>
      <c r="L120" s="67"/>
    </row>
    <row r="121" ht="23.1" customHeight="1" spans="1:12">
      <c r="A121" s="102"/>
      <c r="B121" s="103" t="s">
        <v>243</v>
      </c>
      <c r="C121" s="104">
        <v>140</v>
      </c>
      <c r="D121" s="105"/>
      <c r="E121" s="104"/>
      <c r="F121" s="106">
        <f t="shared" si="19"/>
        <v>6.37684630738523</v>
      </c>
      <c r="G121" s="65" t="str">
        <f t="shared" si="20"/>
        <v/>
      </c>
      <c r="H121" s="66" t="str">
        <f t="shared" si="21"/>
        <v/>
      </c>
      <c r="I121" s="65">
        <f t="shared" si="22"/>
        <v>1141.77777777778</v>
      </c>
      <c r="J121" s="65" t="str">
        <f t="shared" si="23"/>
        <v/>
      </c>
      <c r="K121" s="66" t="str">
        <f t="shared" si="24"/>
        <v/>
      </c>
      <c r="L121" s="67"/>
    </row>
    <row r="122" ht="23.1" customHeight="1" spans="1:12">
      <c r="A122" s="102"/>
      <c r="B122" s="103" t="s">
        <v>285</v>
      </c>
      <c r="C122" s="104">
        <v>170</v>
      </c>
      <c r="D122" s="105"/>
      <c r="E122" s="104"/>
      <c r="F122" s="106">
        <f t="shared" si="19"/>
        <v>6.97684630738523</v>
      </c>
      <c r="G122" s="65" t="str">
        <f t="shared" si="20"/>
        <v/>
      </c>
      <c r="H122" s="66" t="str">
        <f t="shared" si="21"/>
        <v/>
      </c>
      <c r="I122" s="65">
        <f t="shared" si="22"/>
        <v>1258.44444444444</v>
      </c>
      <c r="J122" s="65" t="str">
        <f t="shared" si="23"/>
        <v/>
      </c>
      <c r="K122" s="66" t="str">
        <f t="shared" si="24"/>
        <v/>
      </c>
      <c r="L122" s="67"/>
    </row>
    <row r="123" ht="23.1" customHeight="1" spans="1:12">
      <c r="A123" s="102"/>
      <c r="B123" s="103" t="s">
        <v>110</v>
      </c>
      <c r="C123" s="104">
        <v>170</v>
      </c>
      <c r="D123" s="105"/>
      <c r="E123" s="104"/>
      <c r="F123" s="106">
        <f t="shared" si="19"/>
        <v>6.97684630738523</v>
      </c>
      <c r="G123" s="65" t="str">
        <f t="shared" si="20"/>
        <v/>
      </c>
      <c r="H123" s="66" t="str">
        <f t="shared" si="21"/>
        <v/>
      </c>
      <c r="I123" s="65">
        <f t="shared" si="22"/>
        <v>1258.44444444444</v>
      </c>
      <c r="J123" s="65" t="str">
        <f t="shared" si="23"/>
        <v/>
      </c>
      <c r="K123" s="66" t="str">
        <f t="shared" si="24"/>
        <v/>
      </c>
      <c r="L123" s="67"/>
    </row>
    <row r="124" ht="23.1" customHeight="1" spans="1:12">
      <c r="A124" s="102"/>
      <c r="B124" s="103" t="s">
        <v>200</v>
      </c>
      <c r="C124" s="104">
        <v>170</v>
      </c>
      <c r="D124" s="105"/>
      <c r="E124" s="104"/>
      <c r="F124" s="106">
        <f t="shared" si="19"/>
        <v>6.97684630738523</v>
      </c>
      <c r="G124" s="65" t="str">
        <f t="shared" si="20"/>
        <v/>
      </c>
      <c r="H124" s="66" t="str">
        <f t="shared" si="21"/>
        <v/>
      </c>
      <c r="I124" s="65">
        <f t="shared" si="22"/>
        <v>1258.44444444444</v>
      </c>
      <c r="J124" s="65" t="str">
        <f t="shared" si="23"/>
        <v/>
      </c>
      <c r="K124" s="66" t="str">
        <f t="shared" si="24"/>
        <v/>
      </c>
      <c r="L124" s="67"/>
    </row>
    <row r="125" ht="23.1" customHeight="1" spans="1:12">
      <c r="A125" s="102"/>
      <c r="B125" s="103" t="s">
        <v>112</v>
      </c>
      <c r="C125" s="104">
        <v>180</v>
      </c>
      <c r="D125" s="105"/>
      <c r="E125" s="104"/>
      <c r="F125" s="106">
        <f t="shared" si="19"/>
        <v>7.17684630738523</v>
      </c>
      <c r="G125" s="65" t="str">
        <f t="shared" si="20"/>
        <v/>
      </c>
      <c r="H125" s="66" t="str">
        <f t="shared" si="21"/>
        <v/>
      </c>
      <c r="I125" s="65">
        <f t="shared" si="22"/>
        <v>1297.33333333333</v>
      </c>
      <c r="J125" s="65" t="str">
        <f t="shared" si="23"/>
        <v/>
      </c>
      <c r="K125" s="66" t="str">
        <f t="shared" si="24"/>
        <v/>
      </c>
      <c r="L125" s="67"/>
    </row>
    <row r="126" ht="23.1" customHeight="1" spans="1:12">
      <c r="A126" s="102"/>
      <c r="B126" s="103" t="s">
        <v>244</v>
      </c>
      <c r="C126" s="104">
        <v>180</v>
      </c>
      <c r="D126" s="105"/>
      <c r="E126" s="104"/>
      <c r="F126" s="106">
        <f t="shared" si="19"/>
        <v>7.17684630738523</v>
      </c>
      <c r="G126" s="65" t="str">
        <f t="shared" si="20"/>
        <v/>
      </c>
      <c r="H126" s="66" t="str">
        <f t="shared" si="21"/>
        <v/>
      </c>
      <c r="I126" s="65">
        <f t="shared" si="22"/>
        <v>1297.33333333333</v>
      </c>
      <c r="J126" s="65" t="str">
        <f t="shared" si="23"/>
        <v/>
      </c>
      <c r="K126" s="66" t="str">
        <f t="shared" si="24"/>
        <v/>
      </c>
      <c r="L126" s="67"/>
    </row>
    <row r="127" ht="23.1" customHeight="1" spans="1:12">
      <c r="A127" s="102"/>
      <c r="B127" s="103" t="s">
        <v>115</v>
      </c>
      <c r="C127" s="104">
        <v>170</v>
      </c>
      <c r="D127" s="105"/>
      <c r="E127" s="104"/>
      <c r="F127" s="106">
        <f t="shared" si="19"/>
        <v>6.97684630738523</v>
      </c>
      <c r="G127" s="65" t="str">
        <f t="shared" si="20"/>
        <v/>
      </c>
      <c r="H127" s="66" t="str">
        <f t="shared" si="21"/>
        <v/>
      </c>
      <c r="I127" s="65">
        <f t="shared" si="22"/>
        <v>1258.44444444444</v>
      </c>
      <c r="J127" s="65" t="str">
        <f t="shared" si="23"/>
        <v/>
      </c>
      <c r="K127" s="66" t="str">
        <f t="shared" si="24"/>
        <v/>
      </c>
      <c r="L127" s="67"/>
    </row>
    <row r="128" ht="23.1" customHeight="1" spans="1:12">
      <c r="A128" s="102"/>
      <c r="B128" s="103" t="s">
        <v>199</v>
      </c>
      <c r="C128" s="104">
        <v>170</v>
      </c>
      <c r="D128" s="105"/>
      <c r="E128" s="104"/>
      <c r="F128" s="106">
        <f t="shared" si="19"/>
        <v>6.97684630738523</v>
      </c>
      <c r="G128" s="65" t="str">
        <f t="shared" si="20"/>
        <v/>
      </c>
      <c r="H128" s="66" t="str">
        <f t="shared" si="21"/>
        <v/>
      </c>
      <c r="I128" s="65">
        <f t="shared" si="22"/>
        <v>1258.44444444444</v>
      </c>
      <c r="J128" s="65" t="str">
        <f t="shared" si="23"/>
        <v/>
      </c>
      <c r="K128" s="66" t="str">
        <f t="shared" si="24"/>
        <v/>
      </c>
      <c r="L128" s="67"/>
    </row>
    <row r="129" ht="23.1" customHeight="1" spans="1:12">
      <c r="A129" s="102"/>
      <c r="B129" s="103" t="s">
        <v>116</v>
      </c>
      <c r="C129" s="104">
        <v>170</v>
      </c>
      <c r="D129" s="105">
        <v>6200</v>
      </c>
      <c r="E129" s="104"/>
      <c r="F129" s="106">
        <f t="shared" si="19"/>
        <v>6.97684630738523</v>
      </c>
      <c r="G129" s="65">
        <f t="shared" si="20"/>
        <v>6.25948103792415</v>
      </c>
      <c r="H129" s="66" t="str">
        <f t="shared" si="21"/>
        <v/>
      </c>
      <c r="I129" s="65">
        <f t="shared" si="22"/>
        <v>1258.44444444444</v>
      </c>
      <c r="J129" s="65">
        <f t="shared" si="23"/>
        <v>1045.33333333333</v>
      </c>
      <c r="K129" s="66" t="str">
        <f t="shared" si="24"/>
        <v/>
      </c>
      <c r="L129" s="67"/>
    </row>
    <row r="130" ht="23.1" customHeight="1" spans="1:12">
      <c r="A130" s="102"/>
      <c r="B130" s="103" t="s">
        <v>197</v>
      </c>
      <c r="C130" s="104">
        <v>200</v>
      </c>
      <c r="D130" s="105"/>
      <c r="E130" s="104"/>
      <c r="F130" s="106">
        <f t="shared" si="19"/>
        <v>7.57684630738523</v>
      </c>
      <c r="G130" s="65" t="str">
        <f t="shared" si="20"/>
        <v/>
      </c>
      <c r="H130" s="66" t="str">
        <f t="shared" si="21"/>
        <v/>
      </c>
      <c r="I130" s="65">
        <f t="shared" si="22"/>
        <v>1375.11111111111</v>
      </c>
      <c r="J130" s="65" t="str">
        <f t="shared" si="23"/>
        <v/>
      </c>
      <c r="K130" s="66" t="str">
        <f t="shared" si="24"/>
        <v/>
      </c>
      <c r="L130" s="67"/>
    </row>
    <row r="131" ht="23.1" customHeight="1" spans="1:12">
      <c r="A131" s="102"/>
      <c r="B131" s="103" t="s">
        <v>208</v>
      </c>
      <c r="C131" s="104">
        <v>200</v>
      </c>
      <c r="D131" s="105"/>
      <c r="E131" s="104"/>
      <c r="F131" s="106">
        <f t="shared" si="19"/>
        <v>7.57684630738523</v>
      </c>
      <c r="G131" s="65" t="str">
        <f t="shared" si="20"/>
        <v/>
      </c>
      <c r="H131" s="66" t="str">
        <f t="shared" si="21"/>
        <v/>
      </c>
      <c r="I131" s="65">
        <f t="shared" si="22"/>
        <v>1375.11111111111</v>
      </c>
      <c r="J131" s="65" t="str">
        <f t="shared" si="23"/>
        <v/>
      </c>
      <c r="K131" s="66" t="str">
        <f t="shared" si="24"/>
        <v/>
      </c>
      <c r="L131" s="67"/>
    </row>
    <row r="132" ht="23.1" customHeight="1" spans="1:12">
      <c r="A132" s="102"/>
      <c r="B132" s="103" t="s">
        <v>178</v>
      </c>
      <c r="C132" s="104">
        <v>200</v>
      </c>
      <c r="D132" s="105"/>
      <c r="E132" s="104"/>
      <c r="F132" s="106">
        <f t="shared" si="19"/>
        <v>7.57684630738523</v>
      </c>
      <c r="G132" s="65" t="str">
        <f t="shared" si="20"/>
        <v/>
      </c>
      <c r="H132" s="66" t="str">
        <f t="shared" si="21"/>
        <v/>
      </c>
      <c r="I132" s="65">
        <f t="shared" si="22"/>
        <v>1375.11111111111</v>
      </c>
      <c r="J132" s="65" t="str">
        <f t="shared" si="23"/>
        <v/>
      </c>
      <c r="K132" s="66" t="str">
        <f t="shared" si="24"/>
        <v/>
      </c>
      <c r="L132" s="67"/>
    </row>
    <row r="133" ht="23.1" customHeight="1" spans="1:12">
      <c r="A133" s="102"/>
      <c r="B133" s="103" t="s">
        <v>286</v>
      </c>
      <c r="C133" s="104">
        <v>75</v>
      </c>
      <c r="D133" s="105"/>
      <c r="E133" s="104"/>
      <c r="F133" s="106">
        <f t="shared" si="19"/>
        <v>5.07684630738523</v>
      </c>
      <c r="G133" s="65" t="str">
        <f t="shared" si="20"/>
        <v/>
      </c>
      <c r="H133" s="66" t="str">
        <f t="shared" si="21"/>
        <v/>
      </c>
      <c r="I133" s="65">
        <f t="shared" si="22"/>
        <v>889</v>
      </c>
      <c r="J133" s="65"/>
      <c r="K133" s="66"/>
      <c r="L133" s="67">
        <v>5.7</v>
      </c>
    </row>
    <row r="134" ht="23.1" customHeight="1" spans="1:12">
      <c r="A134" s="102"/>
      <c r="B134" s="103" t="s">
        <v>233</v>
      </c>
      <c r="C134" s="104">
        <v>200</v>
      </c>
      <c r="D134" s="105"/>
      <c r="E134" s="104"/>
      <c r="F134" s="106">
        <f t="shared" si="19"/>
        <v>7.57684630738523</v>
      </c>
      <c r="G134" s="65" t="str">
        <f t="shared" si="20"/>
        <v/>
      </c>
      <c r="H134" s="66" t="str">
        <f t="shared" si="21"/>
        <v/>
      </c>
      <c r="I134" s="65">
        <f t="shared" si="22"/>
        <v>1375.11111111111</v>
      </c>
      <c r="J134" s="65" t="str">
        <f>IF(D134="","",($J$11-$H$7+D134)*$J$10/$B$12)</f>
        <v/>
      </c>
      <c r="K134" s="66" t="str">
        <f>IF(E134="","",($J$11-$H$7+E134)*$J$10/$B$12)</f>
        <v/>
      </c>
      <c r="L134" s="67"/>
    </row>
    <row r="135" ht="23.1" customHeight="1" spans="1:12">
      <c r="A135" s="102"/>
      <c r="B135" s="103" t="s">
        <v>235</v>
      </c>
      <c r="C135" s="104">
        <v>200</v>
      </c>
      <c r="D135" s="105"/>
      <c r="E135" s="104"/>
      <c r="F135" s="106">
        <f t="shared" si="19"/>
        <v>7.57684630738523</v>
      </c>
      <c r="G135" s="65" t="str">
        <f t="shared" si="20"/>
        <v/>
      </c>
      <c r="H135" s="66" t="str">
        <f t="shared" si="21"/>
        <v/>
      </c>
      <c r="I135" s="65">
        <f t="shared" si="22"/>
        <v>1375.11111111111</v>
      </c>
      <c r="J135" s="65" t="str">
        <f>IF(D135="","",($J$11-$H$7+D135)*$J$10/$B$12)</f>
        <v/>
      </c>
      <c r="K135" s="66" t="str">
        <f>IF(E135="","",($J$11-$H$7+E135)*$J$10/$B$12)</f>
        <v/>
      </c>
      <c r="L135" s="67"/>
    </row>
    <row r="136" ht="23.1" customHeight="1" spans="1:12">
      <c r="A136" s="102"/>
      <c r="B136" s="103" t="s">
        <v>287</v>
      </c>
      <c r="C136" s="104">
        <v>170</v>
      </c>
      <c r="D136" s="105"/>
      <c r="E136" s="104"/>
      <c r="F136" s="106">
        <f t="shared" si="19"/>
        <v>6.97684630738523</v>
      </c>
      <c r="G136" s="65" t="str">
        <f t="shared" si="20"/>
        <v/>
      </c>
      <c r="H136" s="66" t="str">
        <f t="shared" si="21"/>
        <v/>
      </c>
      <c r="I136" s="65">
        <f t="shared" si="22"/>
        <v>1258.44444444444</v>
      </c>
      <c r="J136" s="65"/>
      <c r="K136" s="66"/>
      <c r="L136" s="67"/>
    </row>
    <row r="137" ht="23.1" customHeight="1" spans="1:12">
      <c r="A137" s="102"/>
      <c r="B137" s="103" t="s">
        <v>186</v>
      </c>
      <c r="C137" s="104">
        <v>200</v>
      </c>
      <c r="D137" s="105"/>
      <c r="E137" s="104"/>
      <c r="F137" s="106">
        <f t="shared" si="19"/>
        <v>7.57684630738523</v>
      </c>
      <c r="G137" s="65" t="str">
        <f t="shared" si="20"/>
        <v/>
      </c>
      <c r="H137" s="66" t="str">
        <f t="shared" si="21"/>
        <v/>
      </c>
      <c r="I137" s="65">
        <f t="shared" si="22"/>
        <v>1375.11111111111</v>
      </c>
      <c r="J137" s="65" t="str">
        <f t="shared" ref="J137:J168" si="25">IF(D137="","",($J$11-$H$7+D137)*$J$10/$B$12)</f>
        <v/>
      </c>
      <c r="K137" s="66" t="str">
        <f t="shared" ref="K137:K168" si="26">IF(E137="","",($J$11-$H$7+E137)*$J$10/$B$12)</f>
        <v/>
      </c>
      <c r="L137" s="67"/>
    </row>
    <row r="138" ht="23.1" customHeight="1" spans="1:12">
      <c r="A138" s="102"/>
      <c r="B138" s="103" t="s">
        <v>236</v>
      </c>
      <c r="C138" s="104">
        <v>200</v>
      </c>
      <c r="D138" s="105"/>
      <c r="E138" s="104"/>
      <c r="F138" s="106">
        <f t="shared" si="19"/>
        <v>7.57684630738523</v>
      </c>
      <c r="G138" s="65" t="str">
        <f t="shared" si="20"/>
        <v/>
      </c>
      <c r="H138" s="66" t="str">
        <f t="shared" si="21"/>
        <v/>
      </c>
      <c r="I138" s="65">
        <f t="shared" si="22"/>
        <v>1375.11111111111</v>
      </c>
      <c r="J138" s="65" t="str">
        <f t="shared" si="25"/>
        <v/>
      </c>
      <c r="K138" s="66" t="str">
        <f t="shared" si="26"/>
        <v/>
      </c>
      <c r="L138" s="67"/>
    </row>
    <row r="139" ht="23.1" customHeight="1" spans="1:12">
      <c r="A139" s="102"/>
      <c r="B139" s="103" t="s">
        <v>288</v>
      </c>
      <c r="C139" s="104">
        <v>200</v>
      </c>
      <c r="D139" s="105"/>
      <c r="E139" s="104"/>
      <c r="F139" s="106">
        <f t="shared" si="19"/>
        <v>7.57684630738523</v>
      </c>
      <c r="G139" s="65" t="str">
        <f t="shared" si="20"/>
        <v/>
      </c>
      <c r="H139" s="66" t="str">
        <f t="shared" si="21"/>
        <v/>
      </c>
      <c r="I139" s="65">
        <f t="shared" si="22"/>
        <v>1375.11111111111</v>
      </c>
      <c r="J139" s="65" t="str">
        <f t="shared" si="25"/>
        <v/>
      </c>
      <c r="K139" s="66" t="str">
        <f t="shared" si="26"/>
        <v/>
      </c>
      <c r="L139" s="67"/>
    </row>
    <row r="140" ht="23.1" customHeight="1" spans="1:12">
      <c r="A140" s="102"/>
      <c r="B140" s="103" t="s">
        <v>250</v>
      </c>
      <c r="C140" s="104">
        <v>200</v>
      </c>
      <c r="D140" s="105"/>
      <c r="E140" s="104"/>
      <c r="F140" s="106">
        <f t="shared" si="19"/>
        <v>7.57684630738523</v>
      </c>
      <c r="G140" s="65" t="str">
        <f t="shared" si="20"/>
        <v/>
      </c>
      <c r="H140" s="66" t="str">
        <f t="shared" si="21"/>
        <v/>
      </c>
      <c r="I140" s="65">
        <f t="shared" si="22"/>
        <v>1375.11111111111</v>
      </c>
      <c r="J140" s="65" t="str">
        <f t="shared" si="25"/>
        <v/>
      </c>
      <c r="K140" s="66" t="str">
        <f t="shared" si="26"/>
        <v/>
      </c>
      <c r="L140" s="67"/>
    </row>
    <row r="141" ht="23.1" customHeight="1" spans="1:12">
      <c r="A141" s="102"/>
      <c r="B141" s="103" t="s">
        <v>123</v>
      </c>
      <c r="C141" s="104">
        <v>200</v>
      </c>
      <c r="D141" s="105"/>
      <c r="E141" s="104"/>
      <c r="F141" s="106">
        <f t="shared" si="19"/>
        <v>7.57684630738523</v>
      </c>
      <c r="G141" s="65" t="str">
        <f t="shared" si="20"/>
        <v/>
      </c>
      <c r="H141" s="66" t="str">
        <f t="shared" si="21"/>
        <v/>
      </c>
      <c r="I141" s="65">
        <f t="shared" si="22"/>
        <v>1375.11111111111</v>
      </c>
      <c r="J141" s="65" t="str">
        <f t="shared" si="25"/>
        <v/>
      </c>
      <c r="K141" s="66" t="str">
        <f t="shared" si="26"/>
        <v/>
      </c>
      <c r="L141" s="67"/>
    </row>
    <row r="142" ht="23.1" customHeight="1" spans="1:12">
      <c r="A142" s="102"/>
      <c r="B142" s="103" t="s">
        <v>124</v>
      </c>
      <c r="C142" s="104">
        <v>200</v>
      </c>
      <c r="D142" s="105"/>
      <c r="E142" s="104"/>
      <c r="F142" s="106">
        <f t="shared" ref="F142:F173" si="27">$J$12+(C142*$J$10/$L$10)</f>
        <v>7.57684630738523</v>
      </c>
      <c r="G142" s="65" t="str">
        <f t="shared" ref="G142:G173" si="28">IF(D142="","",($J$11-$H$7+D142)*$J$10/$H$12)</f>
        <v/>
      </c>
      <c r="H142" s="66" t="str">
        <f t="shared" ref="H142:H173" si="29">IF(E142="","",($J$11-$H$7+E142)*$J$10/$H$12)</f>
        <v/>
      </c>
      <c r="I142" s="65">
        <f t="shared" ref="I142:I173" si="30">$F$12+(C142*$J$10/$L$12)</f>
        <v>1375.11111111111</v>
      </c>
      <c r="J142" s="65" t="str">
        <f t="shared" si="25"/>
        <v/>
      </c>
      <c r="K142" s="66" t="str">
        <f t="shared" si="26"/>
        <v/>
      </c>
      <c r="L142" s="67"/>
    </row>
    <row r="143" ht="23.1" customHeight="1" spans="1:12">
      <c r="A143" s="102"/>
      <c r="B143" s="103" t="s">
        <v>232</v>
      </c>
      <c r="C143" s="104">
        <v>200</v>
      </c>
      <c r="D143" s="105"/>
      <c r="E143" s="104"/>
      <c r="F143" s="106">
        <f t="shared" si="27"/>
        <v>7.57684630738523</v>
      </c>
      <c r="G143" s="65" t="str">
        <f t="shared" si="28"/>
        <v/>
      </c>
      <c r="H143" s="66" t="str">
        <f t="shared" si="29"/>
        <v/>
      </c>
      <c r="I143" s="65">
        <f t="shared" si="30"/>
        <v>1375.11111111111</v>
      </c>
      <c r="J143" s="65" t="str">
        <f t="shared" si="25"/>
        <v/>
      </c>
      <c r="K143" s="66" t="str">
        <f t="shared" si="26"/>
        <v/>
      </c>
      <c r="L143" s="67"/>
    </row>
    <row r="144" ht="23.1" customHeight="1" spans="1:12">
      <c r="A144" s="102"/>
      <c r="B144" s="103" t="s">
        <v>217</v>
      </c>
      <c r="C144" s="104">
        <v>200</v>
      </c>
      <c r="D144" s="105"/>
      <c r="E144" s="104"/>
      <c r="F144" s="106">
        <f t="shared" si="27"/>
        <v>7.57684630738523</v>
      </c>
      <c r="G144" s="65" t="str">
        <f t="shared" si="28"/>
        <v/>
      </c>
      <c r="H144" s="66" t="str">
        <f t="shared" si="29"/>
        <v/>
      </c>
      <c r="I144" s="65">
        <f t="shared" si="30"/>
        <v>1375.11111111111</v>
      </c>
      <c r="J144" s="65" t="str">
        <f t="shared" si="25"/>
        <v/>
      </c>
      <c r="K144" s="66" t="str">
        <f t="shared" si="26"/>
        <v/>
      </c>
      <c r="L144" s="67"/>
    </row>
    <row r="145" ht="23.1" customHeight="1" spans="1:12">
      <c r="A145" s="102"/>
      <c r="B145" s="103" t="s">
        <v>135</v>
      </c>
      <c r="C145" s="104">
        <v>220</v>
      </c>
      <c r="D145" s="105"/>
      <c r="E145" s="104"/>
      <c r="F145" s="106">
        <f t="shared" si="27"/>
        <v>7.97684630738523</v>
      </c>
      <c r="G145" s="65" t="str">
        <f t="shared" si="28"/>
        <v/>
      </c>
      <c r="H145" s="66" t="str">
        <f t="shared" si="29"/>
        <v/>
      </c>
      <c r="I145" s="65">
        <f t="shared" si="30"/>
        <v>1452.88888888889</v>
      </c>
      <c r="J145" s="65" t="str">
        <f t="shared" si="25"/>
        <v/>
      </c>
      <c r="K145" s="66" t="str">
        <f t="shared" si="26"/>
        <v/>
      </c>
      <c r="L145" s="67">
        <v>9</v>
      </c>
    </row>
    <row r="146" ht="23.1" customHeight="1" spans="1:12">
      <c r="A146" s="102"/>
      <c r="B146" s="103" t="s">
        <v>136</v>
      </c>
      <c r="C146" s="104">
        <v>220</v>
      </c>
      <c r="D146" s="105"/>
      <c r="E146" s="104"/>
      <c r="F146" s="106">
        <f t="shared" si="27"/>
        <v>7.97684630738523</v>
      </c>
      <c r="G146" s="65" t="str">
        <f t="shared" si="28"/>
        <v/>
      </c>
      <c r="H146" s="66" t="str">
        <f t="shared" si="29"/>
        <v/>
      </c>
      <c r="I146" s="65">
        <f t="shared" si="30"/>
        <v>1452.88888888889</v>
      </c>
      <c r="J146" s="65" t="str">
        <f t="shared" si="25"/>
        <v/>
      </c>
      <c r="K146" s="66" t="str">
        <f t="shared" si="26"/>
        <v/>
      </c>
      <c r="L146" s="67">
        <v>9</v>
      </c>
    </row>
    <row r="147" ht="23.1" customHeight="1" spans="1:12">
      <c r="A147" s="102"/>
      <c r="B147" s="103" t="s">
        <v>139</v>
      </c>
      <c r="C147" s="104">
        <v>240</v>
      </c>
      <c r="D147" s="105"/>
      <c r="E147" s="104"/>
      <c r="F147" s="106">
        <f t="shared" si="27"/>
        <v>8.37684630738523</v>
      </c>
      <c r="G147" s="65" t="str">
        <f t="shared" si="28"/>
        <v/>
      </c>
      <c r="H147" s="66" t="str">
        <f t="shared" si="29"/>
        <v/>
      </c>
      <c r="I147" s="65">
        <f t="shared" si="30"/>
        <v>1530.66666666667</v>
      </c>
      <c r="J147" s="65" t="str">
        <f t="shared" si="25"/>
        <v/>
      </c>
      <c r="K147" s="66" t="str">
        <f t="shared" si="26"/>
        <v/>
      </c>
      <c r="L147" s="67"/>
    </row>
    <row r="148" ht="23.1" customHeight="1" spans="1:12">
      <c r="A148" s="102"/>
      <c r="B148" s="103" t="s">
        <v>129</v>
      </c>
      <c r="C148" s="104">
        <v>220</v>
      </c>
      <c r="D148" s="105"/>
      <c r="E148" s="104"/>
      <c r="F148" s="106">
        <f t="shared" si="27"/>
        <v>7.97684630738523</v>
      </c>
      <c r="G148" s="65" t="str">
        <f t="shared" si="28"/>
        <v/>
      </c>
      <c r="H148" s="66" t="str">
        <f t="shared" si="29"/>
        <v/>
      </c>
      <c r="I148" s="65">
        <f t="shared" si="30"/>
        <v>1452.88888888889</v>
      </c>
      <c r="J148" s="65" t="str">
        <f t="shared" si="25"/>
        <v/>
      </c>
      <c r="K148" s="66" t="str">
        <f t="shared" si="26"/>
        <v/>
      </c>
      <c r="L148" s="67"/>
    </row>
    <row r="149" ht="23.1" customHeight="1" spans="1:12">
      <c r="A149" s="102"/>
      <c r="B149" s="103" t="s">
        <v>137</v>
      </c>
      <c r="C149" s="104">
        <v>220</v>
      </c>
      <c r="D149" s="105"/>
      <c r="E149" s="104"/>
      <c r="F149" s="106">
        <f t="shared" si="27"/>
        <v>7.97684630738523</v>
      </c>
      <c r="G149" s="65" t="str">
        <f t="shared" si="28"/>
        <v/>
      </c>
      <c r="H149" s="66" t="str">
        <f t="shared" si="29"/>
        <v/>
      </c>
      <c r="I149" s="65">
        <f t="shared" si="30"/>
        <v>1452.88888888889</v>
      </c>
      <c r="J149" s="65" t="str">
        <f t="shared" si="25"/>
        <v/>
      </c>
      <c r="K149" s="66" t="str">
        <f t="shared" si="26"/>
        <v/>
      </c>
      <c r="L149" s="67">
        <v>9</v>
      </c>
    </row>
    <row r="150" ht="23.1" customHeight="1" spans="1:12">
      <c r="A150" s="102"/>
      <c r="B150" s="103" t="s">
        <v>138</v>
      </c>
      <c r="C150" s="104">
        <v>220</v>
      </c>
      <c r="D150" s="105"/>
      <c r="E150" s="104"/>
      <c r="F150" s="106">
        <f t="shared" si="27"/>
        <v>7.97684630738523</v>
      </c>
      <c r="G150" s="65" t="str">
        <f t="shared" si="28"/>
        <v/>
      </c>
      <c r="H150" s="66" t="str">
        <f t="shared" si="29"/>
        <v/>
      </c>
      <c r="I150" s="65">
        <f t="shared" si="30"/>
        <v>1452.88888888889</v>
      </c>
      <c r="J150" s="65" t="str">
        <f t="shared" si="25"/>
        <v/>
      </c>
      <c r="K150" s="66" t="str">
        <f t="shared" si="26"/>
        <v/>
      </c>
      <c r="L150" s="67"/>
    </row>
    <row r="151" ht="23.1" customHeight="1" spans="1:12">
      <c r="A151" s="102"/>
      <c r="B151" s="103" t="s">
        <v>140</v>
      </c>
      <c r="C151" s="104">
        <v>220</v>
      </c>
      <c r="D151" s="105"/>
      <c r="E151" s="104"/>
      <c r="F151" s="106">
        <f t="shared" si="27"/>
        <v>7.97684630738523</v>
      </c>
      <c r="G151" s="65" t="str">
        <f t="shared" si="28"/>
        <v/>
      </c>
      <c r="H151" s="66" t="str">
        <f t="shared" si="29"/>
        <v/>
      </c>
      <c r="I151" s="65">
        <f t="shared" si="30"/>
        <v>1452.88888888889</v>
      </c>
      <c r="J151" s="65" t="str">
        <f t="shared" si="25"/>
        <v/>
      </c>
      <c r="K151" s="66" t="str">
        <f t="shared" si="26"/>
        <v/>
      </c>
      <c r="L151" s="67"/>
    </row>
    <row r="152" ht="23.1" customHeight="1" spans="1:12">
      <c r="A152" s="102"/>
      <c r="B152" s="103" t="s">
        <v>127</v>
      </c>
      <c r="C152" s="104">
        <v>200</v>
      </c>
      <c r="D152" s="105"/>
      <c r="E152" s="104"/>
      <c r="F152" s="106">
        <f t="shared" si="27"/>
        <v>7.57684630738523</v>
      </c>
      <c r="G152" s="65" t="str">
        <f t="shared" si="28"/>
        <v/>
      </c>
      <c r="H152" s="66" t="str">
        <f t="shared" si="29"/>
        <v/>
      </c>
      <c r="I152" s="65">
        <f t="shared" si="30"/>
        <v>1375.11111111111</v>
      </c>
      <c r="J152" s="65" t="str">
        <f t="shared" si="25"/>
        <v/>
      </c>
      <c r="K152" s="66" t="str">
        <f t="shared" si="26"/>
        <v/>
      </c>
      <c r="L152" s="67"/>
    </row>
    <row r="153" ht="23.1" customHeight="1" spans="1:12">
      <c r="A153" s="102"/>
      <c r="B153" s="103" t="s">
        <v>218</v>
      </c>
      <c r="C153" s="104">
        <v>200</v>
      </c>
      <c r="D153" s="105"/>
      <c r="E153" s="104"/>
      <c r="F153" s="106">
        <f t="shared" si="27"/>
        <v>7.57684630738523</v>
      </c>
      <c r="G153" s="65" t="str">
        <f t="shared" si="28"/>
        <v/>
      </c>
      <c r="H153" s="66" t="str">
        <f t="shared" si="29"/>
        <v/>
      </c>
      <c r="I153" s="65">
        <f t="shared" si="30"/>
        <v>1375.11111111111</v>
      </c>
      <c r="J153" s="65" t="str">
        <f t="shared" si="25"/>
        <v/>
      </c>
      <c r="K153" s="66" t="str">
        <f t="shared" si="26"/>
        <v/>
      </c>
      <c r="L153" s="67"/>
    </row>
    <row r="154" ht="23.1" customHeight="1" spans="1:12">
      <c r="A154" s="102"/>
      <c r="B154" s="103" t="s">
        <v>207</v>
      </c>
      <c r="C154" s="104">
        <v>210</v>
      </c>
      <c r="D154" s="105"/>
      <c r="E154" s="104"/>
      <c r="F154" s="106">
        <f t="shared" si="27"/>
        <v>7.77684630738523</v>
      </c>
      <c r="G154" s="65" t="str">
        <f t="shared" si="28"/>
        <v/>
      </c>
      <c r="H154" s="66" t="str">
        <f t="shared" si="29"/>
        <v/>
      </c>
      <c r="I154" s="65">
        <f t="shared" si="30"/>
        <v>1414</v>
      </c>
      <c r="J154" s="65" t="str">
        <f t="shared" si="25"/>
        <v/>
      </c>
      <c r="K154" s="66" t="str">
        <f t="shared" si="26"/>
        <v/>
      </c>
      <c r="L154" s="67"/>
    </row>
    <row r="155" ht="23.1" customHeight="1" spans="1:12">
      <c r="A155" s="102"/>
      <c r="B155" s="103" t="s">
        <v>289</v>
      </c>
      <c r="C155" s="104">
        <v>210</v>
      </c>
      <c r="D155" s="105"/>
      <c r="E155" s="104"/>
      <c r="F155" s="106">
        <f t="shared" si="27"/>
        <v>7.77684630738523</v>
      </c>
      <c r="G155" s="65" t="str">
        <f t="shared" si="28"/>
        <v/>
      </c>
      <c r="H155" s="66" t="str">
        <f t="shared" si="29"/>
        <v/>
      </c>
      <c r="I155" s="65">
        <f t="shared" si="30"/>
        <v>1414</v>
      </c>
      <c r="J155" s="65" t="str">
        <f t="shared" si="25"/>
        <v/>
      </c>
      <c r="K155" s="66" t="str">
        <f t="shared" si="26"/>
        <v/>
      </c>
      <c r="L155" s="67"/>
    </row>
    <row r="156" ht="23.1" customHeight="1" spans="1:12">
      <c r="A156" s="102"/>
      <c r="B156" s="103" t="s">
        <v>290</v>
      </c>
      <c r="C156" s="104">
        <v>180</v>
      </c>
      <c r="D156" s="105"/>
      <c r="E156" s="104"/>
      <c r="F156" s="106">
        <f t="shared" si="27"/>
        <v>7.17684630738523</v>
      </c>
      <c r="G156" s="65" t="str">
        <f t="shared" si="28"/>
        <v/>
      </c>
      <c r="H156" s="66" t="str">
        <f t="shared" si="29"/>
        <v/>
      </c>
      <c r="I156" s="65">
        <f t="shared" si="30"/>
        <v>1297.33333333333</v>
      </c>
      <c r="J156" s="65" t="str">
        <f t="shared" si="25"/>
        <v/>
      </c>
      <c r="K156" s="66" t="str">
        <f t="shared" si="26"/>
        <v/>
      </c>
      <c r="L156" s="67"/>
    </row>
    <row r="157" ht="23.1" customHeight="1" spans="1:12">
      <c r="A157" s="102"/>
      <c r="B157" s="103" t="s">
        <v>125</v>
      </c>
      <c r="C157" s="104">
        <v>180</v>
      </c>
      <c r="D157" s="105"/>
      <c r="E157" s="104"/>
      <c r="F157" s="106">
        <f t="shared" si="27"/>
        <v>7.17684630738523</v>
      </c>
      <c r="G157" s="65" t="str">
        <f t="shared" si="28"/>
        <v/>
      </c>
      <c r="H157" s="66" t="str">
        <f t="shared" si="29"/>
        <v/>
      </c>
      <c r="I157" s="65">
        <f t="shared" si="30"/>
        <v>1297.33333333333</v>
      </c>
      <c r="J157" s="65" t="str">
        <f t="shared" si="25"/>
        <v/>
      </c>
      <c r="K157" s="66" t="str">
        <f t="shared" si="26"/>
        <v/>
      </c>
      <c r="L157" s="67"/>
    </row>
    <row r="158" ht="23.1" customHeight="1" spans="1:12">
      <c r="A158" s="102"/>
      <c r="B158" s="103" t="s">
        <v>177</v>
      </c>
      <c r="C158" s="104">
        <v>180</v>
      </c>
      <c r="D158" s="105"/>
      <c r="E158" s="104"/>
      <c r="F158" s="106">
        <f t="shared" si="27"/>
        <v>7.17684630738523</v>
      </c>
      <c r="G158" s="65" t="str">
        <f t="shared" si="28"/>
        <v/>
      </c>
      <c r="H158" s="66" t="str">
        <f t="shared" si="29"/>
        <v/>
      </c>
      <c r="I158" s="65">
        <f t="shared" si="30"/>
        <v>1297.33333333333</v>
      </c>
      <c r="J158" s="65" t="str">
        <f t="shared" si="25"/>
        <v/>
      </c>
      <c r="K158" s="66" t="str">
        <f t="shared" si="26"/>
        <v/>
      </c>
      <c r="L158" s="67"/>
    </row>
    <row r="159" ht="23.1" customHeight="1" spans="1:12">
      <c r="A159" s="102"/>
      <c r="B159" s="103" t="s">
        <v>201</v>
      </c>
      <c r="C159" s="104">
        <v>210</v>
      </c>
      <c r="D159" s="105"/>
      <c r="E159" s="104"/>
      <c r="F159" s="106">
        <f t="shared" si="27"/>
        <v>7.77684630738523</v>
      </c>
      <c r="G159" s="65" t="str">
        <f t="shared" si="28"/>
        <v/>
      </c>
      <c r="H159" s="66" t="str">
        <f t="shared" si="29"/>
        <v/>
      </c>
      <c r="I159" s="65">
        <f t="shared" si="30"/>
        <v>1414</v>
      </c>
      <c r="J159" s="65" t="str">
        <f t="shared" si="25"/>
        <v/>
      </c>
      <c r="K159" s="66" t="str">
        <f t="shared" si="26"/>
        <v/>
      </c>
      <c r="L159" s="67"/>
    </row>
    <row r="160" ht="23.1" customHeight="1" spans="1:12">
      <c r="A160" s="102"/>
      <c r="B160" s="103" t="s">
        <v>210</v>
      </c>
      <c r="C160" s="104">
        <v>210</v>
      </c>
      <c r="D160" s="105"/>
      <c r="E160" s="104"/>
      <c r="F160" s="106">
        <f t="shared" si="27"/>
        <v>7.77684630738523</v>
      </c>
      <c r="G160" s="65" t="str">
        <f t="shared" si="28"/>
        <v/>
      </c>
      <c r="H160" s="66" t="str">
        <f t="shared" si="29"/>
        <v/>
      </c>
      <c r="I160" s="65">
        <f t="shared" si="30"/>
        <v>1414</v>
      </c>
      <c r="J160" s="65" t="str">
        <f t="shared" si="25"/>
        <v/>
      </c>
      <c r="K160" s="66" t="str">
        <f t="shared" si="26"/>
        <v/>
      </c>
      <c r="L160" s="67"/>
    </row>
    <row r="161" ht="23.1" customHeight="1" spans="1:12">
      <c r="A161" s="102"/>
      <c r="B161" s="103" t="s">
        <v>204</v>
      </c>
      <c r="C161" s="104">
        <v>210</v>
      </c>
      <c r="D161" s="105"/>
      <c r="E161" s="104"/>
      <c r="F161" s="106">
        <f t="shared" si="27"/>
        <v>7.77684630738523</v>
      </c>
      <c r="G161" s="65" t="str">
        <f t="shared" si="28"/>
        <v/>
      </c>
      <c r="H161" s="66" t="str">
        <f t="shared" si="29"/>
        <v/>
      </c>
      <c r="I161" s="65">
        <f t="shared" si="30"/>
        <v>1414</v>
      </c>
      <c r="J161" s="65" t="str">
        <f t="shared" si="25"/>
        <v/>
      </c>
      <c r="K161" s="66" t="str">
        <f t="shared" si="26"/>
        <v/>
      </c>
      <c r="L161" s="67"/>
    </row>
    <row r="162" ht="23.1" customHeight="1" spans="1:12">
      <c r="A162" s="102"/>
      <c r="B162" s="103" t="s">
        <v>209</v>
      </c>
      <c r="C162" s="104">
        <v>210</v>
      </c>
      <c r="D162" s="105"/>
      <c r="E162" s="104"/>
      <c r="F162" s="106">
        <f t="shared" si="27"/>
        <v>7.77684630738523</v>
      </c>
      <c r="G162" s="65" t="str">
        <f t="shared" si="28"/>
        <v/>
      </c>
      <c r="H162" s="66" t="str">
        <f t="shared" si="29"/>
        <v/>
      </c>
      <c r="I162" s="65">
        <f t="shared" si="30"/>
        <v>1414</v>
      </c>
      <c r="J162" s="65" t="str">
        <f t="shared" si="25"/>
        <v/>
      </c>
      <c r="K162" s="66" t="str">
        <f t="shared" si="26"/>
        <v/>
      </c>
      <c r="L162" s="67"/>
    </row>
    <row r="163" ht="23.1" customHeight="1" spans="1:12">
      <c r="A163" s="102"/>
      <c r="B163" s="103" t="s">
        <v>211</v>
      </c>
      <c r="C163" s="104">
        <v>220</v>
      </c>
      <c r="D163" s="105"/>
      <c r="E163" s="104"/>
      <c r="F163" s="106">
        <f t="shared" si="27"/>
        <v>7.97684630738523</v>
      </c>
      <c r="G163" s="65" t="str">
        <f t="shared" si="28"/>
        <v/>
      </c>
      <c r="H163" s="66" t="str">
        <f t="shared" si="29"/>
        <v/>
      </c>
      <c r="I163" s="65">
        <f t="shared" si="30"/>
        <v>1452.88888888889</v>
      </c>
      <c r="J163" s="65" t="str">
        <f t="shared" si="25"/>
        <v/>
      </c>
      <c r="K163" s="66" t="str">
        <f t="shared" si="26"/>
        <v/>
      </c>
      <c r="L163" s="67"/>
    </row>
    <row r="164" ht="23.1" customHeight="1" spans="1:12">
      <c r="A164" s="102"/>
      <c r="B164" s="103" t="s">
        <v>254</v>
      </c>
      <c r="C164" s="104">
        <v>220</v>
      </c>
      <c r="D164" s="105"/>
      <c r="E164" s="104"/>
      <c r="F164" s="106">
        <f t="shared" si="27"/>
        <v>7.97684630738523</v>
      </c>
      <c r="G164" s="65" t="str">
        <f t="shared" si="28"/>
        <v/>
      </c>
      <c r="H164" s="66" t="str">
        <f t="shared" si="29"/>
        <v/>
      </c>
      <c r="I164" s="65">
        <f t="shared" si="30"/>
        <v>1452.88888888889</v>
      </c>
      <c r="J164" s="65" t="str">
        <f t="shared" si="25"/>
        <v/>
      </c>
      <c r="K164" s="66" t="str">
        <f t="shared" si="26"/>
        <v/>
      </c>
      <c r="L164" s="67"/>
    </row>
    <row r="165" ht="23.1" customHeight="1" spans="1:12">
      <c r="A165" s="102"/>
      <c r="B165" s="103" t="s">
        <v>212</v>
      </c>
      <c r="C165" s="104">
        <v>240</v>
      </c>
      <c r="D165" s="105"/>
      <c r="E165" s="104"/>
      <c r="F165" s="106">
        <f t="shared" si="27"/>
        <v>8.37684630738523</v>
      </c>
      <c r="G165" s="65" t="str">
        <f t="shared" si="28"/>
        <v/>
      </c>
      <c r="H165" s="66" t="str">
        <f t="shared" si="29"/>
        <v/>
      </c>
      <c r="I165" s="65">
        <f t="shared" si="30"/>
        <v>1530.66666666667</v>
      </c>
      <c r="J165" s="65" t="str">
        <f t="shared" si="25"/>
        <v/>
      </c>
      <c r="K165" s="66" t="str">
        <f t="shared" si="26"/>
        <v/>
      </c>
      <c r="L165" s="67"/>
    </row>
    <row r="166" ht="23.1" customHeight="1" spans="1:12">
      <c r="A166" s="102"/>
      <c r="B166" s="103" t="s">
        <v>216</v>
      </c>
      <c r="C166" s="104">
        <v>240</v>
      </c>
      <c r="D166" s="105"/>
      <c r="E166" s="104"/>
      <c r="F166" s="106">
        <f t="shared" si="27"/>
        <v>8.37684630738523</v>
      </c>
      <c r="G166" s="65" t="str">
        <f t="shared" si="28"/>
        <v/>
      </c>
      <c r="H166" s="66" t="str">
        <f t="shared" si="29"/>
        <v/>
      </c>
      <c r="I166" s="65">
        <f t="shared" si="30"/>
        <v>1530.66666666667</v>
      </c>
      <c r="J166" s="65" t="str">
        <f t="shared" si="25"/>
        <v/>
      </c>
      <c r="K166" s="66" t="str">
        <f t="shared" si="26"/>
        <v/>
      </c>
      <c r="L166" s="67"/>
    </row>
    <row r="167" ht="23.1" customHeight="1" spans="1:12">
      <c r="A167" s="102"/>
      <c r="B167" s="103" t="s">
        <v>291</v>
      </c>
      <c r="C167" s="104">
        <v>240</v>
      </c>
      <c r="D167" s="105"/>
      <c r="E167" s="104"/>
      <c r="F167" s="106">
        <f t="shared" si="27"/>
        <v>8.37684630738523</v>
      </c>
      <c r="G167" s="65" t="str">
        <f t="shared" si="28"/>
        <v/>
      </c>
      <c r="H167" s="66" t="str">
        <f t="shared" si="29"/>
        <v/>
      </c>
      <c r="I167" s="65">
        <f t="shared" si="30"/>
        <v>1530.66666666667</v>
      </c>
      <c r="J167" s="65" t="str">
        <f t="shared" si="25"/>
        <v/>
      </c>
      <c r="K167" s="66" t="str">
        <f t="shared" si="26"/>
        <v/>
      </c>
      <c r="L167" s="67"/>
    </row>
    <row r="168" ht="23.1" customHeight="1" spans="1:12">
      <c r="A168" s="102"/>
      <c r="B168" s="103" t="s">
        <v>227</v>
      </c>
      <c r="C168" s="104">
        <v>240</v>
      </c>
      <c r="D168" s="105"/>
      <c r="E168" s="104"/>
      <c r="F168" s="106">
        <f t="shared" si="27"/>
        <v>8.37684630738523</v>
      </c>
      <c r="G168" s="65" t="str">
        <f t="shared" si="28"/>
        <v/>
      </c>
      <c r="H168" s="66" t="str">
        <f t="shared" si="29"/>
        <v/>
      </c>
      <c r="I168" s="65">
        <f t="shared" si="30"/>
        <v>1530.66666666667</v>
      </c>
      <c r="J168" s="65" t="str">
        <f t="shared" si="25"/>
        <v/>
      </c>
      <c r="K168" s="66" t="str">
        <f t="shared" si="26"/>
        <v/>
      </c>
      <c r="L168" s="67"/>
    </row>
    <row r="169" ht="23.1" customHeight="1" spans="1:12">
      <c r="A169" s="102"/>
      <c r="B169" s="103" t="s">
        <v>292</v>
      </c>
      <c r="C169" s="104">
        <v>240</v>
      </c>
      <c r="D169" s="105"/>
      <c r="E169" s="104"/>
      <c r="F169" s="106">
        <f t="shared" si="27"/>
        <v>8.37684630738523</v>
      </c>
      <c r="G169" s="65" t="str">
        <f t="shared" si="28"/>
        <v/>
      </c>
      <c r="H169" s="66" t="str">
        <f t="shared" si="29"/>
        <v/>
      </c>
      <c r="I169" s="65">
        <f t="shared" si="30"/>
        <v>1530.66666666667</v>
      </c>
      <c r="J169" s="65" t="str">
        <f t="shared" ref="J169:J188" si="31">IF(D169="","",($J$11-$H$7+D169)*$J$10/$B$12)</f>
        <v/>
      </c>
      <c r="K169" s="66" t="str">
        <f t="shared" ref="K169:K188" si="32">IF(E169="","",($J$11-$H$7+E169)*$J$10/$B$12)</f>
        <v/>
      </c>
      <c r="L169" s="67"/>
    </row>
    <row r="170" ht="23.1" customHeight="1" spans="1:12">
      <c r="A170" s="102"/>
      <c r="B170" s="103" t="s">
        <v>213</v>
      </c>
      <c r="C170" s="104">
        <v>240</v>
      </c>
      <c r="D170" s="105"/>
      <c r="E170" s="104"/>
      <c r="F170" s="106">
        <f t="shared" si="27"/>
        <v>8.37684630738523</v>
      </c>
      <c r="G170" s="65" t="str">
        <f t="shared" si="28"/>
        <v/>
      </c>
      <c r="H170" s="66" t="str">
        <f t="shared" si="29"/>
        <v/>
      </c>
      <c r="I170" s="65">
        <f t="shared" si="30"/>
        <v>1530.66666666667</v>
      </c>
      <c r="J170" s="65" t="str">
        <f t="shared" si="31"/>
        <v/>
      </c>
      <c r="K170" s="66" t="str">
        <f t="shared" si="32"/>
        <v/>
      </c>
      <c r="L170" s="67"/>
    </row>
    <row r="171" ht="23.1" customHeight="1" spans="1:12">
      <c r="A171" s="102"/>
      <c r="B171" s="103" t="s">
        <v>215</v>
      </c>
      <c r="C171" s="104">
        <v>240</v>
      </c>
      <c r="D171" s="105"/>
      <c r="E171" s="104"/>
      <c r="F171" s="106">
        <f t="shared" si="27"/>
        <v>8.37684630738523</v>
      </c>
      <c r="G171" s="65" t="str">
        <f t="shared" si="28"/>
        <v/>
      </c>
      <c r="H171" s="66" t="str">
        <f t="shared" si="29"/>
        <v/>
      </c>
      <c r="I171" s="65">
        <f t="shared" si="30"/>
        <v>1530.66666666667</v>
      </c>
      <c r="J171" s="65" t="str">
        <f t="shared" si="31"/>
        <v/>
      </c>
      <c r="K171" s="66" t="str">
        <f t="shared" si="32"/>
        <v/>
      </c>
      <c r="L171" s="67"/>
    </row>
    <row r="172" ht="23.1" customHeight="1" spans="1:12">
      <c r="A172" s="102"/>
      <c r="B172" s="103" t="s">
        <v>214</v>
      </c>
      <c r="C172" s="104">
        <v>240</v>
      </c>
      <c r="D172" s="105"/>
      <c r="E172" s="104"/>
      <c r="F172" s="106">
        <f t="shared" si="27"/>
        <v>8.37684630738523</v>
      </c>
      <c r="G172" s="65" t="str">
        <f t="shared" si="28"/>
        <v/>
      </c>
      <c r="H172" s="66" t="str">
        <f t="shared" si="29"/>
        <v/>
      </c>
      <c r="I172" s="65">
        <f t="shared" si="30"/>
        <v>1530.66666666667</v>
      </c>
      <c r="J172" s="65" t="str">
        <f t="shared" si="31"/>
        <v/>
      </c>
      <c r="K172" s="66" t="str">
        <f t="shared" si="32"/>
        <v/>
      </c>
      <c r="L172" s="67"/>
    </row>
    <row r="173" ht="23.1" customHeight="1" spans="1:12">
      <c r="A173" s="102"/>
      <c r="B173" s="103" t="s">
        <v>248</v>
      </c>
      <c r="C173" s="104">
        <v>240</v>
      </c>
      <c r="D173" s="105"/>
      <c r="E173" s="104"/>
      <c r="F173" s="106">
        <f t="shared" si="27"/>
        <v>8.37684630738523</v>
      </c>
      <c r="G173" s="65" t="str">
        <f t="shared" si="28"/>
        <v/>
      </c>
      <c r="H173" s="66" t="str">
        <f t="shared" si="29"/>
        <v/>
      </c>
      <c r="I173" s="65">
        <f t="shared" si="30"/>
        <v>1530.66666666667</v>
      </c>
      <c r="J173" s="65" t="str">
        <f t="shared" si="31"/>
        <v/>
      </c>
      <c r="K173" s="66" t="str">
        <f t="shared" si="32"/>
        <v/>
      </c>
      <c r="L173" s="67"/>
    </row>
    <row r="174" ht="23.1" customHeight="1" spans="1:12">
      <c r="A174" s="102"/>
      <c r="B174" s="103" t="s">
        <v>179</v>
      </c>
      <c r="C174" s="104">
        <v>240</v>
      </c>
      <c r="D174" s="105"/>
      <c r="E174" s="104"/>
      <c r="F174" s="106">
        <f t="shared" ref="F174:F190" si="33">$J$12+(C174*$J$10/$L$10)</f>
        <v>8.37684630738523</v>
      </c>
      <c r="G174" s="65" t="str">
        <f t="shared" ref="G174:G190" si="34">IF(D174="","",($J$11-$H$7+D174)*$J$10/$H$12)</f>
        <v/>
      </c>
      <c r="H174" s="66" t="str">
        <f t="shared" ref="H174:H190" si="35">IF(E174="","",($J$11-$H$7+E174)*$J$10/$H$12)</f>
        <v/>
      </c>
      <c r="I174" s="65">
        <f t="shared" ref="I174:I190" si="36">$F$12+(C174*$J$10/$L$12)</f>
        <v>1530.66666666667</v>
      </c>
      <c r="J174" s="65" t="str">
        <f t="shared" si="31"/>
        <v/>
      </c>
      <c r="K174" s="66" t="str">
        <f t="shared" si="32"/>
        <v/>
      </c>
      <c r="L174" s="67"/>
    </row>
    <row r="175" ht="23.1" customHeight="1" spans="1:12">
      <c r="A175" s="102"/>
      <c r="B175" s="103" t="s">
        <v>141</v>
      </c>
      <c r="C175" s="104">
        <v>240</v>
      </c>
      <c r="D175" s="105"/>
      <c r="E175" s="104"/>
      <c r="F175" s="106">
        <f t="shared" si="33"/>
        <v>8.37684630738523</v>
      </c>
      <c r="G175" s="65" t="str">
        <f t="shared" si="34"/>
        <v/>
      </c>
      <c r="H175" s="66" t="str">
        <f t="shared" si="35"/>
        <v/>
      </c>
      <c r="I175" s="65">
        <f t="shared" si="36"/>
        <v>1530.66666666667</v>
      </c>
      <c r="J175" s="65" t="str">
        <f t="shared" si="31"/>
        <v/>
      </c>
      <c r="K175" s="66" t="str">
        <f t="shared" si="32"/>
        <v/>
      </c>
      <c r="L175" s="67">
        <v>9</v>
      </c>
    </row>
    <row r="176" ht="23.1" customHeight="1" spans="1:12">
      <c r="A176" s="102"/>
      <c r="B176" s="103" t="s">
        <v>160</v>
      </c>
      <c r="C176" s="104">
        <v>270</v>
      </c>
      <c r="D176" s="105"/>
      <c r="E176" s="104"/>
      <c r="F176" s="106">
        <f t="shared" si="33"/>
        <v>8.97684630738523</v>
      </c>
      <c r="G176" s="65" t="str">
        <f t="shared" si="34"/>
        <v/>
      </c>
      <c r="H176" s="66" t="str">
        <f t="shared" si="35"/>
        <v/>
      </c>
      <c r="I176" s="65">
        <f t="shared" si="36"/>
        <v>1647.33333333333</v>
      </c>
      <c r="J176" s="65" t="str">
        <f t="shared" si="31"/>
        <v/>
      </c>
      <c r="K176" s="66" t="str">
        <f t="shared" si="32"/>
        <v/>
      </c>
      <c r="L176" s="67"/>
    </row>
    <row r="177" ht="23.1" customHeight="1" spans="1:12">
      <c r="A177" s="102"/>
      <c r="B177" s="103" t="s">
        <v>161</v>
      </c>
      <c r="C177" s="104">
        <v>270</v>
      </c>
      <c r="D177" s="105"/>
      <c r="E177" s="104"/>
      <c r="F177" s="106">
        <f t="shared" si="33"/>
        <v>8.97684630738523</v>
      </c>
      <c r="G177" s="65" t="str">
        <f t="shared" si="34"/>
        <v/>
      </c>
      <c r="H177" s="66" t="str">
        <f t="shared" si="35"/>
        <v/>
      </c>
      <c r="I177" s="65">
        <f t="shared" si="36"/>
        <v>1647.33333333333</v>
      </c>
      <c r="J177" s="65" t="str">
        <f t="shared" si="31"/>
        <v/>
      </c>
      <c r="K177" s="66" t="str">
        <f t="shared" si="32"/>
        <v/>
      </c>
      <c r="L177" s="67"/>
    </row>
    <row r="178" ht="23.1" customHeight="1" spans="1:12">
      <c r="A178" s="102"/>
      <c r="B178" s="103" t="s">
        <v>167</v>
      </c>
      <c r="C178" s="104">
        <v>270</v>
      </c>
      <c r="D178" s="105"/>
      <c r="E178" s="104"/>
      <c r="F178" s="106">
        <f t="shared" si="33"/>
        <v>8.97684630738523</v>
      </c>
      <c r="G178" s="65" t="str">
        <f t="shared" si="34"/>
        <v/>
      </c>
      <c r="H178" s="66" t="str">
        <f t="shared" si="35"/>
        <v/>
      </c>
      <c r="I178" s="65">
        <f t="shared" si="36"/>
        <v>1647.33333333333</v>
      </c>
      <c r="J178" s="65" t="str">
        <f t="shared" si="31"/>
        <v/>
      </c>
      <c r="K178" s="66" t="str">
        <f t="shared" si="32"/>
        <v/>
      </c>
      <c r="L178" s="67">
        <v>9</v>
      </c>
    </row>
    <row r="179" ht="23.1" customHeight="1" spans="1:12">
      <c r="A179" s="102"/>
      <c r="B179" s="103" t="s">
        <v>162</v>
      </c>
      <c r="C179" s="104">
        <v>270</v>
      </c>
      <c r="D179" s="105"/>
      <c r="E179" s="104"/>
      <c r="F179" s="106">
        <f t="shared" si="33"/>
        <v>8.97684630738523</v>
      </c>
      <c r="G179" s="65" t="str">
        <f t="shared" si="34"/>
        <v/>
      </c>
      <c r="H179" s="66" t="str">
        <f t="shared" si="35"/>
        <v/>
      </c>
      <c r="I179" s="65">
        <f t="shared" si="36"/>
        <v>1647.33333333333</v>
      </c>
      <c r="J179" s="65" t="str">
        <f t="shared" si="31"/>
        <v/>
      </c>
      <c r="K179" s="66" t="str">
        <f t="shared" si="32"/>
        <v/>
      </c>
      <c r="L179" s="67"/>
    </row>
    <row r="180" ht="23.1" customHeight="1" spans="1:12">
      <c r="A180" s="102"/>
      <c r="B180" s="103" t="s">
        <v>164</v>
      </c>
      <c r="C180" s="104">
        <v>270</v>
      </c>
      <c r="D180" s="105"/>
      <c r="E180" s="104"/>
      <c r="F180" s="106">
        <f t="shared" si="33"/>
        <v>8.97684630738523</v>
      </c>
      <c r="G180" s="65" t="str">
        <f t="shared" si="34"/>
        <v/>
      </c>
      <c r="H180" s="66" t="str">
        <f t="shared" si="35"/>
        <v/>
      </c>
      <c r="I180" s="65">
        <f t="shared" si="36"/>
        <v>1647.33333333333</v>
      </c>
      <c r="J180" s="65" t="str">
        <f t="shared" si="31"/>
        <v/>
      </c>
      <c r="K180" s="66" t="str">
        <f t="shared" si="32"/>
        <v/>
      </c>
      <c r="L180" s="67"/>
    </row>
    <row r="181" ht="23.1" customHeight="1" spans="1:12">
      <c r="A181" s="102"/>
      <c r="B181" s="103" t="s">
        <v>182</v>
      </c>
      <c r="C181" s="104">
        <v>270</v>
      </c>
      <c r="D181" s="105"/>
      <c r="E181" s="104"/>
      <c r="F181" s="106">
        <f t="shared" si="33"/>
        <v>8.97684630738523</v>
      </c>
      <c r="G181" s="65" t="str">
        <f t="shared" si="34"/>
        <v/>
      </c>
      <c r="H181" s="66" t="str">
        <f t="shared" si="35"/>
        <v/>
      </c>
      <c r="I181" s="65">
        <f t="shared" si="36"/>
        <v>1647.33333333333</v>
      </c>
      <c r="J181" s="65" t="str">
        <f t="shared" si="31"/>
        <v/>
      </c>
      <c r="K181" s="66" t="str">
        <f t="shared" si="32"/>
        <v/>
      </c>
      <c r="L181" s="67"/>
    </row>
    <row r="182" ht="23.1" customHeight="1" spans="1:12">
      <c r="A182" s="102"/>
      <c r="B182" s="103" t="s">
        <v>221</v>
      </c>
      <c r="C182" s="104">
        <v>270</v>
      </c>
      <c r="D182" s="105"/>
      <c r="E182" s="104"/>
      <c r="F182" s="106">
        <f t="shared" si="33"/>
        <v>8.97684630738523</v>
      </c>
      <c r="G182" s="65" t="str">
        <f t="shared" si="34"/>
        <v/>
      </c>
      <c r="H182" s="66" t="str">
        <f t="shared" si="35"/>
        <v/>
      </c>
      <c r="I182" s="65">
        <f t="shared" si="36"/>
        <v>1647.33333333333</v>
      </c>
      <c r="J182" s="65" t="str">
        <f t="shared" si="31"/>
        <v/>
      </c>
      <c r="K182" s="66" t="str">
        <f t="shared" si="32"/>
        <v/>
      </c>
      <c r="L182" s="67"/>
    </row>
    <row r="183" ht="23.1" customHeight="1" spans="1:12">
      <c r="A183" s="102"/>
      <c r="B183" s="103" t="s">
        <v>163</v>
      </c>
      <c r="C183" s="104">
        <v>270</v>
      </c>
      <c r="D183" s="105"/>
      <c r="E183" s="104"/>
      <c r="F183" s="106">
        <f t="shared" si="33"/>
        <v>8.97684630738523</v>
      </c>
      <c r="G183" s="65" t="str">
        <f t="shared" si="34"/>
        <v/>
      </c>
      <c r="H183" s="66" t="str">
        <f t="shared" si="35"/>
        <v/>
      </c>
      <c r="I183" s="65">
        <f t="shared" si="36"/>
        <v>1647.33333333333</v>
      </c>
      <c r="J183" s="65" t="str">
        <f t="shared" si="31"/>
        <v/>
      </c>
      <c r="K183" s="66" t="str">
        <f t="shared" si="32"/>
        <v/>
      </c>
      <c r="L183" s="67"/>
    </row>
    <row r="184" ht="23.1" customHeight="1" spans="1:12">
      <c r="A184" s="102"/>
      <c r="B184" s="103" t="s">
        <v>253</v>
      </c>
      <c r="C184" s="104">
        <v>270</v>
      </c>
      <c r="D184" s="105"/>
      <c r="E184" s="104"/>
      <c r="F184" s="106">
        <f t="shared" si="33"/>
        <v>8.97684630738523</v>
      </c>
      <c r="G184" s="65" t="str">
        <f t="shared" si="34"/>
        <v/>
      </c>
      <c r="H184" s="66" t="str">
        <f t="shared" si="35"/>
        <v/>
      </c>
      <c r="I184" s="65">
        <f t="shared" si="36"/>
        <v>1647.33333333333</v>
      </c>
      <c r="J184" s="65" t="str">
        <f t="shared" si="31"/>
        <v/>
      </c>
      <c r="K184" s="66" t="str">
        <f t="shared" si="32"/>
        <v/>
      </c>
      <c r="L184" s="67"/>
    </row>
    <row r="185" ht="23.1" customHeight="1" spans="1:12">
      <c r="A185" s="102"/>
      <c r="B185" s="103" t="s">
        <v>185</v>
      </c>
      <c r="C185" s="104">
        <v>270</v>
      </c>
      <c r="D185" s="105"/>
      <c r="E185" s="104"/>
      <c r="F185" s="106">
        <f t="shared" si="33"/>
        <v>8.97684630738523</v>
      </c>
      <c r="G185" s="65" t="str">
        <f t="shared" si="34"/>
        <v/>
      </c>
      <c r="H185" s="66" t="str">
        <f t="shared" si="35"/>
        <v/>
      </c>
      <c r="I185" s="65">
        <f t="shared" si="36"/>
        <v>1647.33333333333</v>
      </c>
      <c r="J185" s="65" t="str">
        <f t="shared" si="31"/>
        <v/>
      </c>
      <c r="K185" s="66" t="str">
        <f t="shared" si="32"/>
        <v/>
      </c>
      <c r="L185" s="67"/>
    </row>
    <row r="186" ht="23.1" customHeight="1" spans="1:12">
      <c r="A186" s="102"/>
      <c r="B186" s="103" t="s">
        <v>219</v>
      </c>
      <c r="C186" s="104">
        <v>270</v>
      </c>
      <c r="D186" s="105"/>
      <c r="E186" s="104"/>
      <c r="F186" s="106">
        <f t="shared" si="33"/>
        <v>8.97684630738523</v>
      </c>
      <c r="G186" s="65" t="str">
        <f t="shared" si="34"/>
        <v/>
      </c>
      <c r="H186" s="66" t="str">
        <f t="shared" si="35"/>
        <v/>
      </c>
      <c r="I186" s="65">
        <f t="shared" si="36"/>
        <v>1647.33333333333</v>
      </c>
      <c r="J186" s="65" t="str">
        <f t="shared" si="31"/>
        <v/>
      </c>
      <c r="K186" s="66" t="str">
        <f t="shared" si="32"/>
        <v/>
      </c>
      <c r="L186" s="67"/>
    </row>
    <row r="187" ht="23.1" customHeight="1" spans="1:12">
      <c r="A187" s="102"/>
      <c r="B187" s="103" t="s">
        <v>223</v>
      </c>
      <c r="C187" s="104">
        <v>270</v>
      </c>
      <c r="D187" s="105"/>
      <c r="E187" s="104"/>
      <c r="F187" s="106">
        <f t="shared" si="33"/>
        <v>8.97684630738523</v>
      </c>
      <c r="G187" s="65" t="str">
        <f t="shared" si="34"/>
        <v/>
      </c>
      <c r="H187" s="66" t="str">
        <f t="shared" si="35"/>
        <v/>
      </c>
      <c r="I187" s="65">
        <f t="shared" si="36"/>
        <v>1647.33333333333</v>
      </c>
      <c r="J187" s="65" t="str">
        <f t="shared" si="31"/>
        <v/>
      </c>
      <c r="K187" s="66" t="str">
        <f t="shared" si="32"/>
        <v/>
      </c>
      <c r="L187" s="67"/>
    </row>
    <row r="188" ht="23.1" customHeight="1" spans="1:12">
      <c r="A188" s="102"/>
      <c r="B188" s="103" t="s">
        <v>149</v>
      </c>
      <c r="C188" s="104">
        <v>270</v>
      </c>
      <c r="D188" s="105"/>
      <c r="E188" s="104"/>
      <c r="F188" s="106">
        <f t="shared" si="33"/>
        <v>8.97684630738523</v>
      </c>
      <c r="G188" s="65" t="str">
        <f t="shared" si="34"/>
        <v/>
      </c>
      <c r="H188" s="66" t="str">
        <f t="shared" si="35"/>
        <v/>
      </c>
      <c r="I188" s="65">
        <f t="shared" si="36"/>
        <v>1647.33333333333</v>
      </c>
      <c r="J188" s="65" t="str">
        <f t="shared" si="31"/>
        <v/>
      </c>
      <c r="K188" s="66" t="str">
        <f t="shared" si="32"/>
        <v/>
      </c>
      <c r="L188" s="67"/>
    </row>
    <row r="189" ht="23.1" customHeight="1" spans="1:12">
      <c r="A189" s="102"/>
      <c r="B189" s="103" t="s">
        <v>181</v>
      </c>
      <c r="C189" s="104">
        <v>350</v>
      </c>
      <c r="D189" s="105"/>
      <c r="E189" s="104"/>
      <c r="F189" s="106">
        <f t="shared" si="33"/>
        <v>10.5768463073852</v>
      </c>
      <c r="G189" s="65" t="str">
        <f t="shared" si="34"/>
        <v/>
      </c>
      <c r="H189" s="66" t="str">
        <f t="shared" si="35"/>
        <v/>
      </c>
      <c r="I189" s="65">
        <f t="shared" si="36"/>
        <v>1958.44444444444</v>
      </c>
      <c r="J189" s="65"/>
      <c r="K189" s="66"/>
      <c r="L189" s="67"/>
    </row>
    <row r="190" ht="23.1" customHeight="1" spans="1:12">
      <c r="A190" s="102"/>
      <c r="B190" s="103" t="s">
        <v>168</v>
      </c>
      <c r="C190" s="104">
        <v>280</v>
      </c>
      <c r="D190" s="105"/>
      <c r="E190" s="104"/>
      <c r="F190" s="106">
        <f t="shared" si="33"/>
        <v>9.17684630738523</v>
      </c>
      <c r="G190" s="65" t="str">
        <f t="shared" si="34"/>
        <v/>
      </c>
      <c r="H190" s="66" t="str">
        <f t="shared" si="35"/>
        <v/>
      </c>
      <c r="I190" s="65">
        <f t="shared" si="36"/>
        <v>1686.22222222222</v>
      </c>
      <c r="J190" s="65" t="str">
        <f>IF(D190="","",($J$11-$H$7+D190)*$J$10/$B$12)</f>
        <v/>
      </c>
      <c r="K190" s="66" t="str">
        <f>IF(E190="","",($J$11-$H$7+E190)*$J$10/$B$12)</f>
        <v/>
      </c>
      <c r="L190" s="67"/>
    </row>
  </sheetData>
  <mergeCells count="16">
    <mergeCell ref="B1:E1"/>
    <mergeCell ref="C7:E7"/>
    <mergeCell ref="B10:F10"/>
    <mergeCell ref="B11:F11"/>
    <mergeCell ref="B12:D12"/>
    <mergeCell ref="A1:A9"/>
    <mergeCell ref="A14:A19"/>
    <mergeCell ref="A20:A34"/>
    <mergeCell ref="A35:A44"/>
    <mergeCell ref="A45:A56"/>
    <mergeCell ref="A57:A73"/>
    <mergeCell ref="A74:A190"/>
    <mergeCell ref="B2:B6"/>
    <mergeCell ref="B7:B9"/>
    <mergeCell ref="C2:E6"/>
    <mergeCell ref="C8:E9"/>
  </mergeCells>
  <conditionalFormatting sqref="B14">
    <cfRule type="duplicateValues" dxfId="0" priority="171" stopIfTrue="1"/>
  </conditionalFormatting>
  <conditionalFormatting sqref="B15">
    <cfRule type="duplicateValues" dxfId="0" priority="170" stopIfTrue="1"/>
  </conditionalFormatting>
  <conditionalFormatting sqref="B16">
    <cfRule type="duplicateValues" dxfId="0" priority="169" stopIfTrue="1"/>
  </conditionalFormatting>
  <conditionalFormatting sqref="B17">
    <cfRule type="duplicateValues" dxfId="0" priority="168" stopIfTrue="1"/>
  </conditionalFormatting>
  <conditionalFormatting sqref="B18">
    <cfRule type="duplicateValues" dxfId="0" priority="167" stopIfTrue="1"/>
  </conditionalFormatting>
  <conditionalFormatting sqref="B19">
    <cfRule type="duplicateValues" dxfId="0" priority="166" stopIfTrue="1"/>
  </conditionalFormatting>
  <conditionalFormatting sqref="B20">
    <cfRule type="duplicateValues" dxfId="0" priority="165" stopIfTrue="1"/>
  </conditionalFormatting>
  <conditionalFormatting sqref="B21">
    <cfRule type="duplicateValues" dxfId="0" priority="164" stopIfTrue="1"/>
  </conditionalFormatting>
  <conditionalFormatting sqref="B22">
    <cfRule type="duplicateValues" dxfId="0" priority="163" stopIfTrue="1"/>
  </conditionalFormatting>
  <conditionalFormatting sqref="B23">
    <cfRule type="duplicateValues" dxfId="0" priority="162" stopIfTrue="1"/>
  </conditionalFormatting>
  <conditionalFormatting sqref="B24">
    <cfRule type="duplicateValues" dxfId="0" priority="161" stopIfTrue="1"/>
  </conditionalFormatting>
  <conditionalFormatting sqref="B25">
    <cfRule type="duplicateValues" dxfId="0" priority="160" stopIfTrue="1"/>
  </conditionalFormatting>
  <conditionalFormatting sqref="B26">
    <cfRule type="duplicateValues" dxfId="0" priority="159" stopIfTrue="1"/>
  </conditionalFormatting>
  <conditionalFormatting sqref="B27">
    <cfRule type="duplicateValues" dxfId="0" priority="158" stopIfTrue="1"/>
  </conditionalFormatting>
  <conditionalFormatting sqref="B28">
    <cfRule type="duplicateValues" dxfId="0" priority="157" stopIfTrue="1"/>
  </conditionalFormatting>
  <conditionalFormatting sqref="B29">
    <cfRule type="duplicateValues" dxfId="0" priority="156" stopIfTrue="1"/>
  </conditionalFormatting>
  <conditionalFormatting sqref="B30">
    <cfRule type="duplicateValues" dxfId="0" priority="155" stopIfTrue="1"/>
  </conditionalFormatting>
  <conditionalFormatting sqref="B31">
    <cfRule type="duplicateValues" dxfId="0" priority="154" stopIfTrue="1"/>
  </conditionalFormatting>
  <conditionalFormatting sqref="B34">
    <cfRule type="duplicateValues" dxfId="0" priority="152" stopIfTrue="1"/>
  </conditionalFormatting>
  <conditionalFormatting sqref="B35">
    <cfRule type="duplicateValues" dxfId="0" priority="151" stopIfTrue="1"/>
  </conditionalFormatting>
  <conditionalFormatting sqref="B36">
    <cfRule type="duplicateValues" dxfId="0" priority="150" stopIfTrue="1"/>
  </conditionalFormatting>
  <conditionalFormatting sqref="B37">
    <cfRule type="duplicateValues" dxfId="0" priority="149" stopIfTrue="1"/>
  </conditionalFormatting>
  <conditionalFormatting sqref="B38">
    <cfRule type="duplicateValues" dxfId="0" priority="148" stopIfTrue="1"/>
  </conditionalFormatting>
  <conditionalFormatting sqref="B39">
    <cfRule type="duplicateValues" dxfId="0" priority="147" stopIfTrue="1"/>
  </conditionalFormatting>
  <conditionalFormatting sqref="B40">
    <cfRule type="duplicateValues" dxfId="0" priority="146" stopIfTrue="1"/>
  </conditionalFormatting>
  <conditionalFormatting sqref="B41">
    <cfRule type="duplicateValues" dxfId="0" priority="145" stopIfTrue="1"/>
  </conditionalFormatting>
  <conditionalFormatting sqref="B42">
    <cfRule type="duplicateValues" dxfId="0" priority="144" stopIfTrue="1"/>
  </conditionalFormatting>
  <conditionalFormatting sqref="B43">
    <cfRule type="duplicateValues" dxfId="0" priority="143" stopIfTrue="1"/>
  </conditionalFormatting>
  <conditionalFormatting sqref="B44">
    <cfRule type="duplicateValues" dxfId="0" priority="142" stopIfTrue="1"/>
  </conditionalFormatting>
  <conditionalFormatting sqref="B45">
    <cfRule type="duplicateValues" dxfId="0" priority="141" stopIfTrue="1"/>
  </conditionalFormatting>
  <conditionalFormatting sqref="B46">
    <cfRule type="duplicateValues" dxfId="0" priority="140" stopIfTrue="1"/>
  </conditionalFormatting>
  <conditionalFormatting sqref="B47">
    <cfRule type="duplicateValues" dxfId="0" priority="139" stopIfTrue="1"/>
  </conditionalFormatting>
  <conditionalFormatting sqref="B48">
    <cfRule type="duplicateValues" dxfId="0" priority="138" stopIfTrue="1"/>
  </conditionalFormatting>
  <conditionalFormatting sqref="B49">
    <cfRule type="duplicateValues" dxfId="0" priority="137" stopIfTrue="1"/>
  </conditionalFormatting>
  <conditionalFormatting sqref="B50">
    <cfRule type="duplicateValues" dxfId="0" priority="136" stopIfTrue="1"/>
  </conditionalFormatting>
  <conditionalFormatting sqref="B51">
    <cfRule type="duplicateValues" dxfId="0" priority="135" stopIfTrue="1"/>
  </conditionalFormatting>
  <conditionalFormatting sqref="B52">
    <cfRule type="duplicateValues" dxfId="0" priority="134" stopIfTrue="1"/>
  </conditionalFormatting>
  <conditionalFormatting sqref="B53">
    <cfRule type="duplicateValues" dxfId="0" priority="133" stopIfTrue="1"/>
  </conditionalFormatting>
  <conditionalFormatting sqref="B54">
    <cfRule type="duplicateValues" dxfId="0" priority="132" stopIfTrue="1"/>
  </conditionalFormatting>
  <conditionalFormatting sqref="B55">
    <cfRule type="duplicateValues" dxfId="0" priority="131" stopIfTrue="1"/>
  </conditionalFormatting>
  <conditionalFormatting sqref="B56">
    <cfRule type="duplicateValues" dxfId="0" priority="130" stopIfTrue="1"/>
  </conditionalFormatting>
  <conditionalFormatting sqref="B57">
    <cfRule type="duplicateValues" dxfId="0" priority="129" stopIfTrue="1"/>
  </conditionalFormatting>
  <conditionalFormatting sqref="B58">
    <cfRule type="duplicateValues" dxfId="0" priority="128" stopIfTrue="1"/>
  </conditionalFormatting>
  <conditionalFormatting sqref="B59">
    <cfRule type="duplicateValues" dxfId="0" priority="127" stopIfTrue="1"/>
  </conditionalFormatting>
  <conditionalFormatting sqref="B60">
    <cfRule type="duplicateValues" dxfId="0" priority="126" stopIfTrue="1"/>
  </conditionalFormatting>
  <conditionalFormatting sqref="B61">
    <cfRule type="duplicateValues" dxfId="0" priority="125" stopIfTrue="1"/>
  </conditionalFormatting>
  <conditionalFormatting sqref="B62">
    <cfRule type="duplicateValues" dxfId="0" priority="124" stopIfTrue="1"/>
  </conditionalFormatting>
  <conditionalFormatting sqref="B63">
    <cfRule type="duplicateValues" dxfId="0" priority="123" stopIfTrue="1"/>
  </conditionalFormatting>
  <conditionalFormatting sqref="B64">
    <cfRule type="duplicateValues" dxfId="0" priority="122" stopIfTrue="1"/>
  </conditionalFormatting>
  <conditionalFormatting sqref="B65">
    <cfRule type="duplicateValues" dxfId="0" priority="121" stopIfTrue="1"/>
  </conditionalFormatting>
  <conditionalFormatting sqref="B66">
    <cfRule type="duplicateValues" dxfId="0" priority="120" stopIfTrue="1"/>
  </conditionalFormatting>
  <conditionalFormatting sqref="B67">
    <cfRule type="duplicateValues" dxfId="0" priority="119" stopIfTrue="1"/>
  </conditionalFormatting>
  <conditionalFormatting sqref="B68">
    <cfRule type="duplicateValues" dxfId="0" priority="118" stopIfTrue="1"/>
  </conditionalFormatting>
  <conditionalFormatting sqref="B69">
    <cfRule type="duplicateValues" dxfId="0" priority="117" stopIfTrue="1"/>
  </conditionalFormatting>
  <conditionalFormatting sqref="B70">
    <cfRule type="duplicateValues" dxfId="0" priority="116" stopIfTrue="1"/>
  </conditionalFormatting>
  <conditionalFormatting sqref="B71">
    <cfRule type="duplicateValues" dxfId="0" priority="115" stopIfTrue="1"/>
  </conditionalFormatting>
  <conditionalFormatting sqref="B72">
    <cfRule type="duplicateValues" dxfId="0" priority="114" stopIfTrue="1"/>
  </conditionalFormatting>
  <conditionalFormatting sqref="B73">
    <cfRule type="duplicateValues" dxfId="0" priority="113" stopIfTrue="1"/>
  </conditionalFormatting>
  <conditionalFormatting sqref="B74">
    <cfRule type="duplicateValues" dxfId="0" priority="112" stopIfTrue="1"/>
  </conditionalFormatting>
  <conditionalFormatting sqref="B77">
    <cfRule type="duplicateValues" dxfId="0" priority="110" stopIfTrue="1"/>
  </conditionalFormatting>
  <conditionalFormatting sqref="B78">
    <cfRule type="duplicateValues" dxfId="0" priority="109" stopIfTrue="1"/>
  </conditionalFormatting>
  <conditionalFormatting sqref="B82">
    <cfRule type="duplicateValues" dxfId="0" priority="107" stopIfTrue="1"/>
  </conditionalFormatting>
  <conditionalFormatting sqref="B83">
    <cfRule type="duplicateValues" dxfId="0" priority="106" stopIfTrue="1"/>
  </conditionalFormatting>
  <conditionalFormatting sqref="B84">
    <cfRule type="duplicateValues" dxfId="0" priority="105" stopIfTrue="1"/>
  </conditionalFormatting>
  <conditionalFormatting sqref="B85">
    <cfRule type="duplicateValues" dxfId="0" priority="104" stopIfTrue="1"/>
  </conditionalFormatting>
  <conditionalFormatting sqref="B86">
    <cfRule type="duplicateValues" dxfId="0" priority="103" stopIfTrue="1"/>
  </conditionalFormatting>
  <conditionalFormatting sqref="B87">
    <cfRule type="duplicateValues" dxfId="0" priority="102" stopIfTrue="1"/>
  </conditionalFormatting>
  <conditionalFormatting sqref="B88">
    <cfRule type="duplicateValues" dxfId="0" priority="101" stopIfTrue="1"/>
  </conditionalFormatting>
  <conditionalFormatting sqref="B89">
    <cfRule type="duplicateValues" dxfId="0" priority="100" stopIfTrue="1"/>
  </conditionalFormatting>
  <conditionalFormatting sqref="B90">
    <cfRule type="duplicateValues" dxfId="0" priority="99" stopIfTrue="1"/>
  </conditionalFormatting>
  <conditionalFormatting sqref="B91">
    <cfRule type="duplicateValues" dxfId="0" priority="98" stopIfTrue="1"/>
  </conditionalFormatting>
  <conditionalFormatting sqref="B92">
    <cfRule type="duplicateValues" dxfId="0" priority="97" stopIfTrue="1"/>
  </conditionalFormatting>
  <conditionalFormatting sqref="B93">
    <cfRule type="duplicateValues" dxfId="0" priority="96" stopIfTrue="1"/>
  </conditionalFormatting>
  <conditionalFormatting sqref="B94">
    <cfRule type="duplicateValues" dxfId="0" priority="95" stopIfTrue="1"/>
  </conditionalFormatting>
  <conditionalFormatting sqref="B95">
    <cfRule type="duplicateValues" dxfId="0" priority="94" stopIfTrue="1"/>
  </conditionalFormatting>
  <conditionalFormatting sqref="B96">
    <cfRule type="duplicateValues" dxfId="0" priority="93" stopIfTrue="1"/>
  </conditionalFormatting>
  <conditionalFormatting sqref="B97">
    <cfRule type="duplicateValues" dxfId="0" priority="92" stopIfTrue="1"/>
  </conditionalFormatting>
  <conditionalFormatting sqref="B98">
    <cfRule type="duplicateValues" dxfId="0" priority="91" stopIfTrue="1"/>
  </conditionalFormatting>
  <conditionalFormatting sqref="B99">
    <cfRule type="duplicateValues" dxfId="0" priority="90" stopIfTrue="1"/>
  </conditionalFormatting>
  <conditionalFormatting sqref="B100">
    <cfRule type="duplicateValues" dxfId="0" priority="89" stopIfTrue="1"/>
  </conditionalFormatting>
  <conditionalFormatting sqref="B101">
    <cfRule type="duplicateValues" dxfId="0" priority="88" stopIfTrue="1"/>
  </conditionalFormatting>
  <conditionalFormatting sqref="B102">
    <cfRule type="duplicateValues" dxfId="0" priority="87" stopIfTrue="1"/>
  </conditionalFormatting>
  <conditionalFormatting sqref="B103">
    <cfRule type="duplicateValues" dxfId="0" priority="86" stopIfTrue="1"/>
  </conditionalFormatting>
  <conditionalFormatting sqref="B104">
    <cfRule type="duplicateValues" dxfId="0" priority="85" stopIfTrue="1"/>
  </conditionalFormatting>
  <conditionalFormatting sqref="B105">
    <cfRule type="duplicateValues" dxfId="0" priority="84" stopIfTrue="1"/>
  </conditionalFormatting>
  <conditionalFormatting sqref="B106">
    <cfRule type="duplicateValues" dxfId="0" priority="83" stopIfTrue="1"/>
  </conditionalFormatting>
  <conditionalFormatting sqref="B107">
    <cfRule type="duplicateValues" dxfId="0" priority="82" stopIfTrue="1"/>
  </conditionalFormatting>
  <conditionalFormatting sqref="B108">
    <cfRule type="duplicateValues" dxfId="0" priority="81" stopIfTrue="1"/>
  </conditionalFormatting>
  <conditionalFormatting sqref="B109">
    <cfRule type="duplicateValues" dxfId="0" priority="80" stopIfTrue="1"/>
  </conditionalFormatting>
  <conditionalFormatting sqref="B110">
    <cfRule type="duplicateValues" dxfId="0" priority="79" stopIfTrue="1"/>
  </conditionalFormatting>
  <conditionalFormatting sqref="B111">
    <cfRule type="duplicateValues" dxfId="0" priority="78" stopIfTrue="1"/>
  </conditionalFormatting>
  <conditionalFormatting sqref="B112">
    <cfRule type="duplicateValues" dxfId="0" priority="77" stopIfTrue="1"/>
  </conditionalFormatting>
  <conditionalFormatting sqref="B113">
    <cfRule type="duplicateValues" dxfId="0" priority="76" stopIfTrue="1"/>
  </conditionalFormatting>
  <conditionalFormatting sqref="B114">
    <cfRule type="duplicateValues" dxfId="0" priority="75" stopIfTrue="1"/>
  </conditionalFormatting>
  <conditionalFormatting sqref="B115">
    <cfRule type="duplicateValues" dxfId="0" priority="74" stopIfTrue="1"/>
  </conditionalFormatting>
  <conditionalFormatting sqref="B116">
    <cfRule type="duplicateValues" dxfId="0" priority="73" stopIfTrue="1"/>
  </conditionalFormatting>
  <conditionalFormatting sqref="B117">
    <cfRule type="duplicateValues" dxfId="0" priority="72" stopIfTrue="1"/>
  </conditionalFormatting>
  <conditionalFormatting sqref="B118">
    <cfRule type="duplicateValues" dxfId="0" priority="71" stopIfTrue="1"/>
  </conditionalFormatting>
  <conditionalFormatting sqref="B119">
    <cfRule type="duplicateValues" dxfId="0" priority="70" stopIfTrue="1"/>
  </conditionalFormatting>
  <conditionalFormatting sqref="B120">
    <cfRule type="duplicateValues" dxfId="0" priority="69" stopIfTrue="1"/>
  </conditionalFormatting>
  <conditionalFormatting sqref="B121">
    <cfRule type="duplicateValues" dxfId="0" priority="68" stopIfTrue="1"/>
  </conditionalFormatting>
  <conditionalFormatting sqref="B122">
    <cfRule type="duplicateValues" dxfId="0" priority="67" stopIfTrue="1"/>
  </conditionalFormatting>
  <conditionalFormatting sqref="B123">
    <cfRule type="duplicateValues" dxfId="0" priority="66" stopIfTrue="1"/>
  </conditionalFormatting>
  <conditionalFormatting sqref="B124">
    <cfRule type="duplicateValues" dxfId="0" priority="65" stopIfTrue="1"/>
  </conditionalFormatting>
  <conditionalFormatting sqref="B125">
    <cfRule type="duplicateValues" dxfId="0" priority="64" stopIfTrue="1"/>
  </conditionalFormatting>
  <conditionalFormatting sqref="B126">
    <cfRule type="duplicateValues" dxfId="0" priority="63" stopIfTrue="1"/>
  </conditionalFormatting>
  <conditionalFormatting sqref="B127">
    <cfRule type="duplicateValues" dxfId="0" priority="62" stopIfTrue="1"/>
  </conditionalFormatting>
  <conditionalFormatting sqref="B128">
    <cfRule type="duplicateValues" dxfId="0" priority="61" stopIfTrue="1"/>
  </conditionalFormatting>
  <conditionalFormatting sqref="B129">
    <cfRule type="duplicateValues" dxfId="0" priority="60" stopIfTrue="1"/>
  </conditionalFormatting>
  <conditionalFormatting sqref="B130">
    <cfRule type="duplicateValues" dxfId="0" priority="59" stopIfTrue="1"/>
  </conditionalFormatting>
  <conditionalFormatting sqref="B131">
    <cfRule type="duplicateValues" dxfId="0" priority="58" stopIfTrue="1"/>
  </conditionalFormatting>
  <conditionalFormatting sqref="B132">
    <cfRule type="duplicateValues" dxfId="0" priority="57" stopIfTrue="1"/>
  </conditionalFormatting>
  <conditionalFormatting sqref="B135">
    <cfRule type="duplicateValues" dxfId="0" priority="55" stopIfTrue="1"/>
  </conditionalFormatting>
  <conditionalFormatting sqref="B138">
    <cfRule type="duplicateValues" dxfId="0" priority="53" stopIfTrue="1"/>
  </conditionalFormatting>
  <conditionalFormatting sqref="B139">
    <cfRule type="duplicateValues" dxfId="0" priority="52" stopIfTrue="1"/>
  </conditionalFormatting>
  <conditionalFormatting sqref="B140">
    <cfRule type="duplicateValues" dxfId="0" priority="51" stopIfTrue="1"/>
  </conditionalFormatting>
  <conditionalFormatting sqref="B141">
    <cfRule type="duplicateValues" dxfId="0" priority="50" stopIfTrue="1"/>
  </conditionalFormatting>
  <conditionalFormatting sqref="B142">
    <cfRule type="duplicateValues" dxfId="0" priority="49" stopIfTrue="1"/>
  </conditionalFormatting>
  <conditionalFormatting sqref="B143">
    <cfRule type="duplicateValues" dxfId="0" priority="48" stopIfTrue="1"/>
  </conditionalFormatting>
  <conditionalFormatting sqref="B144">
    <cfRule type="duplicateValues" dxfId="0" priority="47" stopIfTrue="1"/>
  </conditionalFormatting>
  <conditionalFormatting sqref="B145">
    <cfRule type="duplicateValues" dxfId="0" priority="46" stopIfTrue="1"/>
  </conditionalFormatting>
  <conditionalFormatting sqref="B146">
    <cfRule type="duplicateValues" dxfId="0" priority="45" stopIfTrue="1"/>
  </conditionalFormatting>
  <conditionalFormatting sqref="B147">
    <cfRule type="duplicateValues" dxfId="0" priority="44" stopIfTrue="1"/>
  </conditionalFormatting>
  <conditionalFormatting sqref="B148">
    <cfRule type="duplicateValues" dxfId="0" priority="43" stopIfTrue="1"/>
  </conditionalFormatting>
  <conditionalFormatting sqref="B149">
    <cfRule type="duplicateValues" dxfId="0" priority="42" stopIfTrue="1"/>
  </conditionalFormatting>
  <conditionalFormatting sqref="B150">
    <cfRule type="duplicateValues" dxfId="0" priority="41" stopIfTrue="1"/>
  </conditionalFormatting>
  <conditionalFormatting sqref="B151">
    <cfRule type="duplicateValues" dxfId="0" priority="40" stopIfTrue="1"/>
  </conditionalFormatting>
  <conditionalFormatting sqref="B152">
    <cfRule type="duplicateValues" dxfId="0" priority="39" stopIfTrue="1"/>
  </conditionalFormatting>
  <conditionalFormatting sqref="B153">
    <cfRule type="duplicateValues" dxfId="0" priority="38" stopIfTrue="1"/>
  </conditionalFormatting>
  <conditionalFormatting sqref="B154">
    <cfRule type="duplicateValues" dxfId="0" priority="37" stopIfTrue="1"/>
  </conditionalFormatting>
  <conditionalFormatting sqref="B155">
    <cfRule type="duplicateValues" dxfId="0" priority="36" stopIfTrue="1"/>
  </conditionalFormatting>
  <conditionalFormatting sqref="B156">
    <cfRule type="duplicateValues" dxfId="0" priority="35" stopIfTrue="1"/>
  </conditionalFormatting>
  <conditionalFormatting sqref="B157">
    <cfRule type="duplicateValues" dxfId="0" priority="34" stopIfTrue="1"/>
  </conditionalFormatting>
  <conditionalFormatting sqref="B158">
    <cfRule type="duplicateValues" dxfId="0" priority="33" stopIfTrue="1"/>
  </conditionalFormatting>
  <conditionalFormatting sqref="B159">
    <cfRule type="duplicateValues" dxfId="0" priority="32" stopIfTrue="1"/>
  </conditionalFormatting>
  <conditionalFormatting sqref="B160">
    <cfRule type="duplicateValues" dxfId="0" priority="31" stopIfTrue="1"/>
  </conditionalFormatting>
  <conditionalFormatting sqref="B161">
    <cfRule type="duplicateValues" dxfId="0" priority="30" stopIfTrue="1"/>
  </conditionalFormatting>
  <conditionalFormatting sqref="B162">
    <cfRule type="duplicateValues" dxfId="0" priority="29" stopIfTrue="1"/>
  </conditionalFormatting>
  <conditionalFormatting sqref="B163">
    <cfRule type="duplicateValues" dxfId="0" priority="28" stopIfTrue="1"/>
  </conditionalFormatting>
  <conditionalFormatting sqref="B164">
    <cfRule type="duplicateValues" dxfId="0" priority="27" stopIfTrue="1"/>
  </conditionalFormatting>
  <conditionalFormatting sqref="B165">
    <cfRule type="duplicateValues" dxfId="0" priority="26" stopIfTrue="1"/>
  </conditionalFormatting>
  <conditionalFormatting sqref="B166">
    <cfRule type="duplicateValues" dxfId="0" priority="25" stopIfTrue="1"/>
  </conditionalFormatting>
  <conditionalFormatting sqref="B167">
    <cfRule type="duplicateValues" dxfId="0" priority="24" stopIfTrue="1"/>
  </conditionalFormatting>
  <conditionalFormatting sqref="B168">
    <cfRule type="duplicateValues" dxfId="0" priority="23" stopIfTrue="1"/>
  </conditionalFormatting>
  <conditionalFormatting sqref="B169">
    <cfRule type="duplicateValues" dxfId="0" priority="22" stopIfTrue="1"/>
  </conditionalFormatting>
  <conditionalFormatting sqref="B170">
    <cfRule type="duplicateValues" dxfId="0" priority="21" stopIfTrue="1"/>
  </conditionalFormatting>
  <conditionalFormatting sqref="B171">
    <cfRule type="duplicateValues" dxfId="0" priority="20" stopIfTrue="1"/>
  </conditionalFormatting>
  <conditionalFormatting sqref="B172">
    <cfRule type="duplicateValues" dxfId="0" priority="19" stopIfTrue="1"/>
  </conditionalFormatting>
  <conditionalFormatting sqref="B173">
    <cfRule type="duplicateValues" dxfId="0" priority="18" stopIfTrue="1"/>
  </conditionalFormatting>
  <conditionalFormatting sqref="B174">
    <cfRule type="duplicateValues" dxfId="0" priority="17" stopIfTrue="1"/>
  </conditionalFormatting>
  <conditionalFormatting sqref="B175">
    <cfRule type="duplicateValues" dxfId="0" priority="16" stopIfTrue="1"/>
  </conditionalFormatting>
  <conditionalFormatting sqref="B176">
    <cfRule type="duplicateValues" dxfId="0" priority="15" stopIfTrue="1"/>
  </conditionalFormatting>
  <conditionalFormatting sqref="B177">
    <cfRule type="duplicateValues" dxfId="0" priority="14" stopIfTrue="1"/>
  </conditionalFormatting>
  <conditionalFormatting sqref="B178">
    <cfRule type="duplicateValues" dxfId="0" priority="13" stopIfTrue="1"/>
  </conditionalFormatting>
  <conditionalFormatting sqref="B179">
    <cfRule type="duplicateValues" dxfId="0" priority="12" stopIfTrue="1"/>
  </conditionalFormatting>
  <conditionalFormatting sqref="B180">
    <cfRule type="duplicateValues" dxfId="0" priority="11" stopIfTrue="1"/>
  </conditionalFormatting>
  <conditionalFormatting sqref="B181">
    <cfRule type="duplicateValues" dxfId="0" priority="10" stopIfTrue="1"/>
  </conditionalFormatting>
  <conditionalFormatting sqref="B182">
    <cfRule type="duplicateValues" dxfId="0" priority="9" stopIfTrue="1"/>
  </conditionalFormatting>
  <conditionalFormatting sqref="B183">
    <cfRule type="duplicateValues" dxfId="0" priority="8" stopIfTrue="1"/>
  </conditionalFormatting>
  <conditionalFormatting sqref="B184">
    <cfRule type="duplicateValues" dxfId="0" priority="7" stopIfTrue="1"/>
  </conditionalFormatting>
  <conditionalFormatting sqref="B185">
    <cfRule type="duplicateValues" dxfId="0" priority="6" stopIfTrue="1"/>
  </conditionalFormatting>
  <conditionalFormatting sqref="B186">
    <cfRule type="duplicateValues" dxfId="0" priority="5" stopIfTrue="1"/>
  </conditionalFormatting>
  <conditionalFormatting sqref="B187">
    <cfRule type="duplicateValues" dxfId="0" priority="4" stopIfTrue="1"/>
  </conditionalFormatting>
  <conditionalFormatting sqref="B188">
    <cfRule type="duplicateValues" dxfId="0" priority="3" stopIfTrue="1"/>
  </conditionalFormatting>
  <conditionalFormatting sqref="B32:B33">
    <cfRule type="duplicateValues" dxfId="0" priority="153" stopIfTrue="1"/>
  </conditionalFormatting>
  <conditionalFormatting sqref="B75:B76">
    <cfRule type="duplicateValues" dxfId="0" priority="111" stopIfTrue="1"/>
  </conditionalFormatting>
  <conditionalFormatting sqref="B79:B81">
    <cfRule type="duplicateValues" dxfId="0" priority="108" stopIfTrue="1"/>
  </conditionalFormatting>
  <conditionalFormatting sqref="B133:B134">
    <cfRule type="duplicateValues" dxfId="0" priority="56" stopIfTrue="1"/>
  </conditionalFormatting>
  <conditionalFormatting sqref="B136:B137">
    <cfRule type="duplicateValues" dxfId="0" priority="54" stopIfTrue="1"/>
  </conditionalFormatting>
  <conditionalFormatting sqref="B189:B190">
    <cfRule type="duplicateValues" dxfId="0" priority="2" stopIfTrue="1"/>
  </conditionalFormatting>
  <pageMargins left="0.7" right="0.7" top="0.75" bottom="0.75" header="0.3" footer="0.3"/>
  <headerFooter/>
  <legacy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9"/>
  <sheetViews>
    <sheetView workbookViewId="0">
      <selection activeCell="A1" sqref="A1:A9"/>
    </sheetView>
  </sheetViews>
  <sheetFormatPr defaultColWidth="14" defaultRowHeight="12.75"/>
  <cols>
    <col min="1" max="1" width="17" customWidth="1"/>
    <col min="2" max="2" width="27" customWidth="1"/>
    <col min="3" max="7" width="14" customWidth="1"/>
    <col min="8" max="8" width="16" customWidth="1"/>
    <col min="9" max="9" width="17" customWidth="1"/>
    <col min="10" max="13" width="14" customWidth="1"/>
    <col min="14" max="14" width="19" customWidth="1"/>
    <col min="15" max="20" width="14" customWidth="1"/>
  </cols>
  <sheetData>
    <row r="1" ht="12" customHeight="1" spans="1:20">
      <c r="A1" s="18" t="s">
        <v>0</v>
      </c>
      <c r="B1" s="19" t="s">
        <v>293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81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81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81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81"/>
      <c r="B5" s="24"/>
      <c r="C5" s="31"/>
      <c r="D5" s="32"/>
      <c r="E5" s="33"/>
      <c r="F5" s="22" t="s">
        <v>20</v>
      </c>
      <c r="G5" s="22" t="s">
        <v>17</v>
      </c>
      <c r="H5" s="30">
        <v>2800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81"/>
      <c r="B6" s="24"/>
      <c r="C6" s="36"/>
      <c r="D6" s="37"/>
      <c r="E6" s="38"/>
      <c r="F6" s="22" t="s">
        <v>21</v>
      </c>
      <c r="G6" s="22" t="s">
        <v>22</v>
      </c>
      <c r="H6" s="39">
        <v>2850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81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1500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81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81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294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5750</v>
      </c>
      <c r="I10" s="24" t="s">
        <v>32</v>
      </c>
      <c r="J10" s="24">
        <v>7</v>
      </c>
      <c r="K10" s="41">
        <f>H10/J10</f>
        <v>821.428571428571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5850</v>
      </c>
      <c r="I11" s="24" t="s">
        <v>35</v>
      </c>
      <c r="J11" s="47">
        <f>H11+K10</f>
        <v>6671.42857142857</v>
      </c>
      <c r="K11" s="48">
        <f>J11*J10</f>
        <v>46700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622.666666666667</v>
      </c>
      <c r="G12" s="22" t="s">
        <v>39</v>
      </c>
      <c r="H12" s="53">
        <v>12500</v>
      </c>
      <c r="I12" s="24" t="s">
        <v>40</v>
      </c>
      <c r="J12" s="54">
        <f>F12/167</f>
        <v>3.72854291417166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83" t="s">
        <v>295</v>
      </c>
      <c r="B14" s="62" t="s">
        <v>71</v>
      </c>
      <c r="C14" s="63">
        <v>30</v>
      </c>
      <c r="D14" s="72">
        <v>2100</v>
      </c>
      <c r="E14" s="84">
        <v>1100</v>
      </c>
      <c r="F14" s="65">
        <f t="shared" ref="F14:F29" si="0">$J$12+(C14*$J$10/$L$10)</f>
        <v>4.32854291417166</v>
      </c>
      <c r="G14" s="65">
        <f>IF(D14="","",($J$11-$H$7+D14)*$J$10/$H$12)</f>
        <v>4.072</v>
      </c>
      <c r="H14" s="66">
        <f>IF(E14="","",($J$11-$H$7+E14)*$J$10/$H$12)</f>
        <v>3.512</v>
      </c>
      <c r="I14" s="65">
        <f t="shared" ref="I14:I29" si="1">$F$12+(C14*$J$10/$L$12)</f>
        <v>739.333333333333</v>
      </c>
      <c r="J14" s="65">
        <f t="shared" ref="J14:J23" si="2">IF(D14="","",($J$11-$H$7+D14)*$J$10/$B$12)</f>
        <v>678.666666666667</v>
      </c>
      <c r="K14" s="66">
        <f t="shared" ref="K14:K23" si="3">IF(E14="","",($J$11-$H$7+E14)*$J$10/$B$12)</f>
        <v>585.333333333333</v>
      </c>
      <c r="L14" s="67">
        <v>5.5</v>
      </c>
    </row>
    <row r="15" ht="23.1" customHeight="1" spans="1:20">
      <c r="A15" s="85"/>
      <c r="B15" s="62" t="s">
        <v>70</v>
      </c>
      <c r="C15" s="63">
        <v>30</v>
      </c>
      <c r="D15" s="72">
        <v>2100</v>
      </c>
      <c r="E15" s="84">
        <v>1100</v>
      </c>
      <c r="F15" s="65">
        <f t="shared" si="0"/>
        <v>4.32854291417166</v>
      </c>
      <c r="G15" s="65">
        <f>IF(D15="","",($J$11-$H$7+D15)*$J$10/$H$12)</f>
        <v>4.072</v>
      </c>
      <c r="H15" s="66">
        <f>IF(E15="","",($J$11-$H$7+E15)*$J$10/$H$12)</f>
        <v>3.512</v>
      </c>
      <c r="I15" s="65">
        <f t="shared" si="1"/>
        <v>739.333333333333</v>
      </c>
      <c r="J15" s="65">
        <f t="shared" si="2"/>
        <v>678.666666666667</v>
      </c>
      <c r="K15" s="66">
        <f t="shared" si="3"/>
        <v>585.333333333333</v>
      </c>
      <c r="L15" s="67">
        <v>5.5</v>
      </c>
    </row>
    <row r="16" ht="23.1" customHeight="1" spans="1:20">
      <c r="A16" s="85"/>
      <c r="B16" s="62" t="s">
        <v>257</v>
      </c>
      <c r="C16" s="63">
        <v>45</v>
      </c>
      <c r="D16" s="72">
        <v>2100</v>
      </c>
      <c r="E16" s="84">
        <v>1100</v>
      </c>
      <c r="F16" s="65">
        <f t="shared" si="0"/>
        <v>4.62854291417166</v>
      </c>
      <c r="G16" s="65">
        <f>IF(D16="","",($J$11-$H$7+D16)*$J$10/$H$12)+36/167</f>
        <v>4.28756886227545</v>
      </c>
      <c r="H16" s="66">
        <f t="shared" ref="H16:H29" si="4">IF(E16="","",($J$11-$H$7+E16)*$J$10/$H$12)</f>
        <v>3.512</v>
      </c>
      <c r="I16" s="65">
        <f t="shared" si="1"/>
        <v>797.666666666667</v>
      </c>
      <c r="J16" s="65">
        <f t="shared" si="2"/>
        <v>678.666666666667</v>
      </c>
      <c r="K16" s="66">
        <f t="shared" si="3"/>
        <v>585.333333333333</v>
      </c>
      <c r="L16" s="67">
        <v>5.9</v>
      </c>
    </row>
    <row r="17" ht="23.1" customHeight="1" spans="1:12">
      <c r="A17" s="85"/>
      <c r="B17" s="62" t="s">
        <v>271</v>
      </c>
      <c r="C17" s="63">
        <v>45</v>
      </c>
      <c r="D17" s="72">
        <v>2100</v>
      </c>
      <c r="E17" s="84">
        <v>1100</v>
      </c>
      <c r="F17" s="65">
        <f t="shared" si="0"/>
        <v>4.62854291417166</v>
      </c>
      <c r="G17" s="65">
        <f>IF(D17="","",($J$11-$H$7+D17)*$J$10/$H$12)+36/167</f>
        <v>4.28756886227545</v>
      </c>
      <c r="H17" s="66">
        <f t="shared" si="4"/>
        <v>3.512</v>
      </c>
      <c r="I17" s="65">
        <f t="shared" si="1"/>
        <v>797.666666666667</v>
      </c>
      <c r="J17" s="65">
        <f t="shared" si="2"/>
        <v>678.666666666667</v>
      </c>
      <c r="K17" s="66">
        <f t="shared" si="3"/>
        <v>585.333333333333</v>
      </c>
      <c r="L17" s="67">
        <v>5.9</v>
      </c>
    </row>
    <row r="18" ht="23.1" customHeight="1" spans="1:12">
      <c r="A18" s="85"/>
      <c r="B18" s="62" t="s">
        <v>95</v>
      </c>
      <c r="C18" s="63">
        <v>45</v>
      </c>
      <c r="D18" s="72">
        <v>2100</v>
      </c>
      <c r="E18" s="84">
        <v>1300</v>
      </c>
      <c r="F18" s="65">
        <f t="shared" si="0"/>
        <v>4.62854291417166</v>
      </c>
      <c r="G18" s="65">
        <f>IF(D18="","",($J$11-$H$7+D18)*$J$10/$H$12)+72/167</f>
        <v>4.5031377245509</v>
      </c>
      <c r="H18" s="66">
        <f t="shared" si="4"/>
        <v>3.624</v>
      </c>
      <c r="I18" s="65">
        <f t="shared" si="1"/>
        <v>797.666666666667</v>
      </c>
      <c r="J18" s="65">
        <f t="shared" si="2"/>
        <v>678.666666666667</v>
      </c>
      <c r="K18" s="66">
        <f t="shared" si="3"/>
        <v>604</v>
      </c>
      <c r="L18" s="67">
        <v>6</v>
      </c>
    </row>
    <row r="19" ht="23.1" customHeight="1" spans="1:12">
      <c r="A19" s="85"/>
      <c r="B19" s="62" t="s">
        <v>194</v>
      </c>
      <c r="C19" s="63">
        <v>30</v>
      </c>
      <c r="D19" s="72">
        <v>2100</v>
      </c>
      <c r="E19" s="84">
        <v>1100</v>
      </c>
      <c r="F19" s="65">
        <f t="shared" si="0"/>
        <v>4.32854291417166</v>
      </c>
      <c r="G19" s="65">
        <f>IF(D19="","",($J$11-$H$7+D19)*$J$10/$H$12)</f>
        <v>4.072</v>
      </c>
      <c r="H19" s="66">
        <f t="shared" si="4"/>
        <v>3.512</v>
      </c>
      <c r="I19" s="65">
        <f t="shared" si="1"/>
        <v>739.333333333333</v>
      </c>
      <c r="J19" s="65">
        <f t="shared" si="2"/>
        <v>678.666666666667</v>
      </c>
      <c r="K19" s="66">
        <f t="shared" si="3"/>
        <v>585.333333333333</v>
      </c>
      <c r="L19" s="67">
        <v>5.5</v>
      </c>
    </row>
    <row r="20" ht="23.1" customHeight="1" spans="1:12">
      <c r="A20" s="85"/>
      <c r="B20" s="62" t="s">
        <v>241</v>
      </c>
      <c r="C20" s="63">
        <v>30</v>
      </c>
      <c r="D20" s="72">
        <v>2100</v>
      </c>
      <c r="E20" s="84">
        <v>1100</v>
      </c>
      <c r="F20" s="65">
        <f t="shared" si="0"/>
        <v>4.32854291417166</v>
      </c>
      <c r="G20" s="65">
        <f>IF(D20="","",($J$11-$H$7+D20)*$J$10/$H$12)</f>
        <v>4.072</v>
      </c>
      <c r="H20" s="66">
        <f t="shared" si="4"/>
        <v>3.512</v>
      </c>
      <c r="I20" s="65">
        <f t="shared" si="1"/>
        <v>739.333333333333</v>
      </c>
      <c r="J20" s="65">
        <f t="shared" si="2"/>
        <v>678.666666666667</v>
      </c>
      <c r="K20" s="66">
        <f t="shared" si="3"/>
        <v>585.333333333333</v>
      </c>
      <c r="L20" s="67">
        <v>5.5</v>
      </c>
    </row>
    <row r="21" ht="23.1" customHeight="1" spans="1:12">
      <c r="A21" s="85"/>
      <c r="B21" s="62" t="s">
        <v>90</v>
      </c>
      <c r="C21" s="63">
        <v>30</v>
      </c>
      <c r="D21" s="72">
        <v>2100</v>
      </c>
      <c r="E21" s="84">
        <v>1100</v>
      </c>
      <c r="F21" s="65">
        <f t="shared" si="0"/>
        <v>4.32854291417166</v>
      </c>
      <c r="G21" s="65">
        <f>IF(D21="","",($J$11-$H$7+D21)*$J$10/$H$12)</f>
        <v>4.072</v>
      </c>
      <c r="H21" s="66">
        <f t="shared" si="4"/>
        <v>3.512</v>
      </c>
      <c r="I21" s="65">
        <f t="shared" si="1"/>
        <v>739.333333333333</v>
      </c>
      <c r="J21" s="65">
        <f t="shared" si="2"/>
        <v>678.666666666667</v>
      </c>
      <c r="K21" s="66">
        <f t="shared" si="3"/>
        <v>585.333333333333</v>
      </c>
      <c r="L21" s="67">
        <v>5.5</v>
      </c>
    </row>
    <row r="22" ht="23.1" customHeight="1" spans="1:12">
      <c r="A22" s="85"/>
      <c r="B22" s="62" t="s">
        <v>247</v>
      </c>
      <c r="C22" s="63">
        <v>40</v>
      </c>
      <c r="D22" s="72">
        <v>2100</v>
      </c>
      <c r="E22" s="84"/>
      <c r="F22" s="65">
        <f t="shared" si="0"/>
        <v>4.52854291417166</v>
      </c>
      <c r="G22" s="65">
        <f>IF(D22="","",($J$11-$H$7+D22)*$J$10/$H$12)+36/167</f>
        <v>4.28756886227545</v>
      </c>
      <c r="H22" s="66" t="str">
        <f t="shared" si="4"/>
        <v/>
      </c>
      <c r="I22" s="65">
        <f t="shared" si="1"/>
        <v>778.222222222222</v>
      </c>
      <c r="J22" s="65">
        <f t="shared" si="2"/>
        <v>678.666666666667</v>
      </c>
      <c r="K22" s="66" t="str">
        <f t="shared" si="3"/>
        <v/>
      </c>
      <c r="L22" s="67">
        <v>5.9</v>
      </c>
    </row>
    <row r="23" ht="23.1" customHeight="1" spans="1:12">
      <c r="A23" s="85"/>
      <c r="B23" s="62" t="s">
        <v>246</v>
      </c>
      <c r="C23" s="63">
        <v>30</v>
      </c>
      <c r="D23" s="72">
        <v>2100</v>
      </c>
      <c r="E23" s="84">
        <v>1100</v>
      </c>
      <c r="F23" s="65">
        <f t="shared" si="0"/>
        <v>4.32854291417166</v>
      </c>
      <c r="G23" s="65">
        <f>IF(D23="","",($J$11-$H$7+D23)*$J$10/$H$12)</f>
        <v>4.072</v>
      </c>
      <c r="H23" s="66">
        <f t="shared" si="4"/>
        <v>3.512</v>
      </c>
      <c r="I23" s="65">
        <f t="shared" si="1"/>
        <v>739.333333333333</v>
      </c>
      <c r="J23" s="65">
        <f t="shared" si="2"/>
        <v>678.666666666667</v>
      </c>
      <c r="K23" s="66">
        <f t="shared" si="3"/>
        <v>585.333333333333</v>
      </c>
      <c r="L23" s="67"/>
    </row>
    <row r="24" ht="23.1" customHeight="1" spans="1:12">
      <c r="A24" s="85"/>
      <c r="B24" s="62" t="s">
        <v>93</v>
      </c>
      <c r="C24" s="63">
        <v>40</v>
      </c>
      <c r="D24" s="72">
        <v>2100</v>
      </c>
      <c r="E24" s="84">
        <v>1100</v>
      </c>
      <c r="F24" s="65">
        <f t="shared" si="0"/>
        <v>4.52854291417166</v>
      </c>
      <c r="G24" s="65">
        <f>IF(D24="","",($J$11-$H$7+D24)*$J$10/$H$12)+36/167</f>
        <v>4.28756886227545</v>
      </c>
      <c r="H24" s="66">
        <f t="shared" si="4"/>
        <v>3.512</v>
      </c>
      <c r="I24" s="65">
        <f t="shared" si="1"/>
        <v>778.222222222222</v>
      </c>
      <c r="J24" s="65">
        <f>IF(D24="","",($J$11-$H$7+D24)*$J$10/$B$12)+60</f>
        <v>738.666666666667</v>
      </c>
      <c r="K24" s="66">
        <f t="shared" ref="K24:K29" si="5">IF(E24="","",($J$11-$H$7+E24)*$J$10/$B$12)</f>
        <v>585.333333333333</v>
      </c>
      <c r="L24" s="67">
        <v>5.9</v>
      </c>
    </row>
    <row r="25" ht="23.1" customHeight="1" spans="1:12">
      <c r="A25" s="85"/>
      <c r="B25" s="62" t="s">
        <v>242</v>
      </c>
      <c r="C25" s="63">
        <v>45</v>
      </c>
      <c r="D25" s="72">
        <v>2100</v>
      </c>
      <c r="E25" s="84">
        <v>1250</v>
      </c>
      <c r="F25" s="65">
        <f t="shared" si="0"/>
        <v>4.62854291417166</v>
      </c>
      <c r="G25" s="65">
        <f>IF(D25="","",($J$11-$H$7+D25)*$J$10/$H$12)+54/167</f>
        <v>4.39535329341317</v>
      </c>
      <c r="H25" s="66">
        <f t="shared" si="4"/>
        <v>3.596</v>
      </c>
      <c r="I25" s="65">
        <f t="shared" si="1"/>
        <v>797.666666666667</v>
      </c>
      <c r="J25" s="65">
        <f>IF(D25="","",($J$11-$H$7+D25)*$J$10/$B$12)</f>
        <v>678.666666666667</v>
      </c>
      <c r="K25" s="66">
        <f t="shared" si="5"/>
        <v>599.333333333333</v>
      </c>
      <c r="L25" s="67">
        <v>5.9</v>
      </c>
    </row>
    <row r="26" ht="23.1" customHeight="1" spans="1:12">
      <c r="A26" s="85"/>
      <c r="B26" s="62" t="s">
        <v>190</v>
      </c>
      <c r="C26" s="63">
        <v>40</v>
      </c>
      <c r="D26" s="72">
        <v>2100</v>
      </c>
      <c r="E26" s="84">
        <v>1300</v>
      </c>
      <c r="F26" s="65">
        <f t="shared" si="0"/>
        <v>4.52854291417166</v>
      </c>
      <c r="G26" s="65">
        <f>IF(D26="","",($J$11-$H$7+D26)*$J$10/$H$12)+54/167</f>
        <v>4.39535329341317</v>
      </c>
      <c r="H26" s="66">
        <f t="shared" si="4"/>
        <v>3.624</v>
      </c>
      <c r="I26" s="65">
        <f t="shared" si="1"/>
        <v>778.222222222222</v>
      </c>
      <c r="J26" s="65">
        <f>IF(D26="","",($J$11-$H$7+D26)*$J$10/$B$12)</f>
        <v>678.666666666667</v>
      </c>
      <c r="K26" s="66">
        <f t="shared" si="5"/>
        <v>604</v>
      </c>
      <c r="L26" s="67">
        <v>5.9</v>
      </c>
    </row>
    <row r="27" ht="23.1" customHeight="1" spans="1:12">
      <c r="A27" s="85"/>
      <c r="B27" s="62" t="s">
        <v>92</v>
      </c>
      <c r="C27" s="63">
        <v>45</v>
      </c>
      <c r="D27" s="72">
        <v>2100</v>
      </c>
      <c r="E27" s="84">
        <v>1300</v>
      </c>
      <c r="F27" s="65">
        <f t="shared" si="0"/>
        <v>4.62854291417166</v>
      </c>
      <c r="G27" s="65">
        <f>IF(D27="","",($J$11-$H$7+D27)*$J$10/$H$12)+54/167</f>
        <v>4.39535329341317</v>
      </c>
      <c r="H27" s="66">
        <f t="shared" si="4"/>
        <v>3.624</v>
      </c>
      <c r="I27" s="65">
        <f t="shared" si="1"/>
        <v>797.666666666667</v>
      </c>
      <c r="J27" s="65">
        <f>IF(D27="","",($J$11-$H$7+D27)*$J$10/$B$12)</f>
        <v>678.666666666667</v>
      </c>
      <c r="K27" s="66">
        <f t="shared" si="5"/>
        <v>604</v>
      </c>
      <c r="L27" s="67">
        <v>5.9</v>
      </c>
    </row>
    <row r="28" ht="23.1" customHeight="1" spans="1:12">
      <c r="A28" s="85"/>
      <c r="B28" s="62" t="s">
        <v>296</v>
      </c>
      <c r="C28" s="63"/>
      <c r="D28" s="72">
        <v>2100</v>
      </c>
      <c r="E28" s="84"/>
      <c r="F28" s="65">
        <f t="shared" si="0"/>
        <v>3.72854291417166</v>
      </c>
      <c r="G28" s="65">
        <f>IF(D28="","",($J$11-$H$7+D28)*$J$10/$H$12)+72/167</f>
        <v>4.5031377245509</v>
      </c>
      <c r="H28" s="66" t="str">
        <f t="shared" si="4"/>
        <v/>
      </c>
      <c r="I28" s="65">
        <f t="shared" si="1"/>
        <v>622.666666666667</v>
      </c>
      <c r="J28" s="65">
        <f>IF(D28="","",($J$11-$H$7+D28)*$J$10/$B$12)</f>
        <v>678.666666666667</v>
      </c>
      <c r="K28" s="66" t="str">
        <f t="shared" si="5"/>
        <v/>
      </c>
      <c r="L28" s="67">
        <v>6</v>
      </c>
    </row>
    <row r="29" ht="23.1" customHeight="1" spans="1:12">
      <c r="A29" s="85"/>
      <c r="B29" s="62" t="s">
        <v>188</v>
      </c>
      <c r="C29" s="63">
        <v>60</v>
      </c>
      <c r="D29" s="72">
        <v>2100</v>
      </c>
      <c r="E29" s="84">
        <v>1850</v>
      </c>
      <c r="F29" s="65">
        <f t="shared" si="0"/>
        <v>4.92854291417166</v>
      </c>
      <c r="G29" s="65">
        <f>IF(D29="","",($J$11-$H$7+D29)*$J$10/$H$12)+72/167</f>
        <v>4.5031377245509</v>
      </c>
      <c r="H29" s="66">
        <f t="shared" si="4"/>
        <v>3.932</v>
      </c>
      <c r="I29" s="65">
        <f t="shared" si="1"/>
        <v>856</v>
      </c>
      <c r="J29" s="65">
        <f>IF(D29="","",($J$11-$H$7+D29)*$J$10/$B$12)</f>
        <v>678.666666666667</v>
      </c>
      <c r="K29" s="66">
        <f t="shared" si="5"/>
        <v>655.333333333333</v>
      </c>
      <c r="L29" s="67">
        <v>6</v>
      </c>
    </row>
  </sheetData>
  <mergeCells count="11">
    <mergeCell ref="B1:E1"/>
    <mergeCell ref="C7:E7"/>
    <mergeCell ref="B10:F10"/>
    <mergeCell ref="B11:F11"/>
    <mergeCell ref="B12:D12"/>
    <mergeCell ref="A1:A9"/>
    <mergeCell ref="A14:A29"/>
    <mergeCell ref="B2:B6"/>
    <mergeCell ref="B7:B9"/>
    <mergeCell ref="C8:E9"/>
    <mergeCell ref="C2:E6"/>
  </mergeCells>
  <conditionalFormatting sqref="B14">
    <cfRule type="duplicateValues" dxfId="0" priority="14" stopIfTrue="1"/>
  </conditionalFormatting>
  <conditionalFormatting sqref="B15">
    <cfRule type="duplicateValues" dxfId="0" priority="13" stopIfTrue="1"/>
  </conditionalFormatting>
  <conditionalFormatting sqref="B16">
    <cfRule type="duplicateValues" dxfId="0" priority="12" stopIfTrue="1"/>
  </conditionalFormatting>
  <conditionalFormatting sqref="B19">
    <cfRule type="duplicateValues" dxfId="0" priority="10" stopIfTrue="1"/>
  </conditionalFormatting>
  <conditionalFormatting sqref="B20">
    <cfRule type="duplicateValues" dxfId="0" priority="9" stopIfTrue="1"/>
  </conditionalFormatting>
  <conditionalFormatting sqref="B21">
    <cfRule type="duplicateValues" dxfId="0" priority="8" stopIfTrue="1"/>
  </conditionalFormatting>
  <conditionalFormatting sqref="B24">
    <cfRule type="duplicateValues" dxfId="0" priority="6" stopIfTrue="1"/>
  </conditionalFormatting>
  <conditionalFormatting sqref="B25">
    <cfRule type="duplicateValues" dxfId="0" priority="5" stopIfTrue="1"/>
  </conditionalFormatting>
  <conditionalFormatting sqref="B26">
    <cfRule type="duplicateValues" dxfId="0" priority="4" stopIfTrue="1"/>
  </conditionalFormatting>
  <conditionalFormatting sqref="B27">
    <cfRule type="duplicateValues" dxfId="0" priority="3" stopIfTrue="1"/>
  </conditionalFormatting>
  <conditionalFormatting sqref="B17:B18">
    <cfRule type="duplicateValues" dxfId="0" priority="11" stopIfTrue="1"/>
  </conditionalFormatting>
  <conditionalFormatting sqref="B22:B23">
    <cfRule type="duplicateValues" dxfId="0" priority="7" stopIfTrue="1"/>
  </conditionalFormatting>
  <conditionalFormatting sqref="B28:B29">
    <cfRule type="duplicateValues" dxfId="0" priority="2" stopIfTrue="1"/>
  </conditionalFormatting>
  <pageMargins left="0.7" right="0.7" top="0.75" bottom="0.75" header="0.3" footer="0.3"/>
  <headerFooter/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"/>
  <sheetViews>
    <sheetView workbookViewId="0">
      <selection activeCell="A1" sqref="A1:A9"/>
    </sheetView>
  </sheetViews>
  <sheetFormatPr defaultColWidth="14" defaultRowHeight="12.75"/>
  <cols>
    <col min="1" max="1" width="23" customWidth="1"/>
    <col min="2" max="2" width="27" customWidth="1"/>
    <col min="3" max="7" width="14" customWidth="1"/>
    <col min="8" max="8" width="15" customWidth="1"/>
    <col min="9" max="9" width="17" customWidth="1"/>
    <col min="10" max="11" width="14" customWidth="1"/>
    <col min="12" max="12" width="19" customWidth="1"/>
    <col min="13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297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81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81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81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81"/>
      <c r="B5" s="24"/>
      <c r="C5" s="31"/>
      <c r="D5" s="32"/>
      <c r="E5" s="33"/>
      <c r="F5" s="22" t="s">
        <v>20</v>
      </c>
      <c r="G5" s="22" t="s">
        <v>17</v>
      </c>
      <c r="H5" s="30">
        <v>2800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81"/>
      <c r="B6" s="24"/>
      <c r="C6" s="36"/>
      <c r="D6" s="37"/>
      <c r="E6" s="38"/>
      <c r="F6" s="22" t="s">
        <v>21</v>
      </c>
      <c r="G6" s="22" t="s">
        <v>22</v>
      </c>
      <c r="H6" s="39">
        <v>2850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81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2000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81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81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298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5750</v>
      </c>
      <c r="I10" s="24" t="s">
        <v>32</v>
      </c>
      <c r="J10" s="24">
        <v>7</v>
      </c>
      <c r="K10" s="41">
        <f>H10/J10</f>
        <v>821.428571428571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6350</v>
      </c>
      <c r="I11" s="24" t="s">
        <v>35</v>
      </c>
      <c r="J11" s="47">
        <f>H11+K10</f>
        <v>7171.42857142857</v>
      </c>
      <c r="K11" s="48">
        <f>J11*J10</f>
        <v>50200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669.333333333333</v>
      </c>
      <c r="G12" s="22" t="s">
        <v>39</v>
      </c>
      <c r="H12" s="53">
        <v>12500</v>
      </c>
      <c r="I12" s="24" t="s">
        <v>40</v>
      </c>
      <c r="J12" s="54">
        <f>K11/H12</f>
        <v>4.016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82" t="s">
        <v>299</v>
      </c>
      <c r="B14" s="62" t="s">
        <v>202</v>
      </c>
      <c r="C14" s="63">
        <v>45</v>
      </c>
      <c r="D14" s="72"/>
      <c r="E14" s="63"/>
      <c r="F14" s="65">
        <f t="shared" ref="F14:F19" si="0">$J$12+(C14*$J$10/$L$10)</f>
        <v>4.916</v>
      </c>
      <c r="G14" s="65" t="str">
        <f t="shared" ref="G14:H19" si="1">IF(D14="","",($J$11-$H$7+D14)*$J$10/$H$12)</f>
        <v/>
      </c>
      <c r="H14" s="66" t="str">
        <f t="shared" si="1"/>
        <v/>
      </c>
      <c r="I14" s="65">
        <f t="shared" ref="I14:I19" si="2">$F$12+(C14*$J$10/$L$12)</f>
        <v>844.333333333333</v>
      </c>
      <c r="J14" s="65" t="str">
        <f t="shared" ref="J14:K19" si="3">IF(D14="","",($J$11-$H$7+D14)*$J$10/$B$12)</f>
        <v/>
      </c>
      <c r="K14" s="66" t="str">
        <f t="shared" si="3"/>
        <v/>
      </c>
      <c r="L14" s="67">
        <v>6.1</v>
      </c>
    </row>
    <row r="15" ht="23.1" customHeight="1" spans="1:20">
      <c r="A15" s="82"/>
      <c r="B15" s="62" t="s">
        <v>256</v>
      </c>
      <c r="C15" s="63">
        <v>45</v>
      </c>
      <c r="D15" s="72"/>
      <c r="E15" s="63"/>
      <c r="F15" s="65">
        <f t="shared" si="0"/>
        <v>4.916</v>
      </c>
      <c r="G15" s="65" t="str">
        <f t="shared" si="1"/>
        <v/>
      </c>
      <c r="H15" s="66" t="str">
        <f t="shared" si="1"/>
        <v/>
      </c>
      <c r="I15" s="65">
        <f t="shared" si="2"/>
        <v>844.333333333333</v>
      </c>
      <c r="J15" s="65" t="str">
        <f t="shared" si="3"/>
        <v/>
      </c>
      <c r="K15" s="66" t="str">
        <f t="shared" si="3"/>
        <v/>
      </c>
      <c r="L15" s="67">
        <v>6.1</v>
      </c>
    </row>
    <row r="16" ht="23.1" customHeight="1" spans="1:20">
      <c r="A16" s="82"/>
      <c r="B16" s="62" t="s">
        <v>198</v>
      </c>
      <c r="C16" s="63">
        <v>65</v>
      </c>
      <c r="D16" s="72"/>
      <c r="E16" s="63"/>
      <c r="F16" s="65">
        <f t="shared" si="0"/>
        <v>5.316</v>
      </c>
      <c r="G16" s="65" t="str">
        <f t="shared" si="1"/>
        <v/>
      </c>
      <c r="H16" s="66" t="str">
        <f t="shared" si="1"/>
        <v/>
      </c>
      <c r="I16" s="65">
        <f t="shared" si="2"/>
        <v>922.111111111111</v>
      </c>
      <c r="J16" s="65" t="str">
        <f t="shared" si="3"/>
        <v/>
      </c>
      <c r="K16" s="66" t="str">
        <f t="shared" si="3"/>
        <v/>
      </c>
      <c r="L16" s="67">
        <v>6.6</v>
      </c>
    </row>
    <row r="17" ht="23.1" customHeight="1" spans="1:12">
      <c r="A17" s="82"/>
      <c r="B17" s="62" t="s">
        <v>245</v>
      </c>
      <c r="C17" s="63">
        <v>65</v>
      </c>
      <c r="D17" s="72"/>
      <c r="E17" s="63"/>
      <c r="F17" s="65">
        <f t="shared" si="0"/>
        <v>5.316</v>
      </c>
      <c r="G17" s="65" t="str">
        <f t="shared" si="1"/>
        <v/>
      </c>
      <c r="H17" s="66" t="str">
        <f t="shared" si="1"/>
        <v/>
      </c>
      <c r="I17" s="65">
        <f t="shared" si="2"/>
        <v>922.111111111111</v>
      </c>
      <c r="J17" s="65" t="str">
        <f t="shared" si="3"/>
        <v/>
      </c>
      <c r="K17" s="66" t="str">
        <f t="shared" si="3"/>
        <v/>
      </c>
      <c r="L17" s="67">
        <v>6.6</v>
      </c>
    </row>
    <row r="18" ht="23.1" customHeight="1" spans="1:12">
      <c r="A18" s="82"/>
      <c r="B18" s="62" t="s">
        <v>103</v>
      </c>
      <c r="C18" s="63">
        <v>65</v>
      </c>
      <c r="D18" s="72">
        <v>3250</v>
      </c>
      <c r="E18" s="63"/>
      <c r="F18" s="65">
        <f t="shared" si="0"/>
        <v>5.316</v>
      </c>
      <c r="G18" s="65">
        <f t="shared" si="1"/>
        <v>4.716</v>
      </c>
      <c r="H18" s="66" t="str">
        <f t="shared" si="1"/>
        <v/>
      </c>
      <c r="I18" s="65">
        <f t="shared" si="2"/>
        <v>922.111111111111</v>
      </c>
      <c r="J18" s="65">
        <f t="shared" si="3"/>
        <v>786</v>
      </c>
      <c r="K18" s="66" t="str">
        <f t="shared" si="3"/>
        <v/>
      </c>
      <c r="L18" s="67">
        <v>6.4</v>
      </c>
    </row>
    <row r="19" ht="23.1" customHeight="1" spans="1:12">
      <c r="A19" s="82"/>
      <c r="B19" s="62" t="s">
        <v>206</v>
      </c>
      <c r="C19" s="63">
        <v>85</v>
      </c>
      <c r="D19" s="72"/>
      <c r="E19" s="63"/>
      <c r="F19" s="65">
        <f t="shared" si="0"/>
        <v>5.716</v>
      </c>
      <c r="G19" s="65" t="str">
        <f t="shared" si="1"/>
        <v/>
      </c>
      <c r="H19" s="66" t="str">
        <f t="shared" si="1"/>
        <v/>
      </c>
      <c r="I19" s="65">
        <f t="shared" si="2"/>
        <v>999.888888888889</v>
      </c>
      <c r="J19" s="65" t="str">
        <f t="shared" si="3"/>
        <v/>
      </c>
      <c r="K19" s="66" t="str">
        <f t="shared" si="3"/>
        <v/>
      </c>
      <c r="L19" s="67">
        <v>7</v>
      </c>
    </row>
    <row r="20" ht="23.1" customHeight="1"/>
  </sheetData>
  <mergeCells count="11">
    <mergeCell ref="B1:E1"/>
    <mergeCell ref="C7:E7"/>
    <mergeCell ref="B10:F10"/>
    <mergeCell ref="B11:F11"/>
    <mergeCell ref="B12:D12"/>
    <mergeCell ref="A1:A9"/>
    <mergeCell ref="A14:A19"/>
    <mergeCell ref="B2:B6"/>
    <mergeCell ref="B7:B9"/>
    <mergeCell ref="C2:E6"/>
    <mergeCell ref="C8:E9"/>
  </mergeCells>
  <conditionalFormatting sqref="B14">
    <cfRule type="duplicateValues" dxfId="0" priority="7" stopIfTrue="1"/>
  </conditionalFormatting>
  <conditionalFormatting sqref="B15">
    <cfRule type="duplicateValues" dxfId="0" priority="6" stopIfTrue="1"/>
  </conditionalFormatting>
  <conditionalFormatting sqref="B16">
    <cfRule type="duplicateValues" dxfId="0" priority="5" stopIfTrue="1"/>
  </conditionalFormatting>
  <conditionalFormatting sqref="B17">
    <cfRule type="duplicateValues" dxfId="0" priority="4" stopIfTrue="1"/>
  </conditionalFormatting>
  <conditionalFormatting sqref="B18">
    <cfRule type="duplicateValues" dxfId="0" priority="3" stopIfTrue="1"/>
  </conditionalFormatting>
  <conditionalFormatting sqref="B19">
    <cfRule type="duplicateValues" dxfId="0" priority="2" stopIfTrue="1"/>
  </conditionalFormatting>
  <pageMargins left="0.7" right="0.7" top="0.75" bottom="0.75" header="0.3" footer="0.3"/>
  <headerFooter/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2"/>
  <sheetViews>
    <sheetView workbookViewId="0">
      <pane ySplit="13" topLeftCell="A14" activePane="bottomLeft" state="frozen"/>
      <selection/>
      <selection pane="bottomLeft" activeCell="F42" sqref="F42"/>
    </sheetView>
  </sheetViews>
  <sheetFormatPr defaultColWidth="14" defaultRowHeight="12.75"/>
  <cols>
    <col min="1" max="1" width="18" customWidth="1"/>
    <col min="2" max="2" width="27" customWidth="1"/>
    <col min="3" max="8" width="14" customWidth="1"/>
    <col min="9" max="9" width="18" customWidth="1"/>
    <col min="10" max="11" width="14" customWidth="1"/>
    <col min="12" max="12" width="23" customWidth="1"/>
    <col min="13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300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 t="s">
        <v>301</v>
      </c>
      <c r="K3" s="23">
        <v>2450</v>
      </c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2800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18"/>
      <c r="B6" s="24"/>
      <c r="C6" s="36"/>
      <c r="D6" s="37"/>
      <c r="E6" s="38"/>
      <c r="F6" s="22" t="s">
        <v>21</v>
      </c>
      <c r="G6" s="22" t="s">
        <v>22</v>
      </c>
      <c r="H6" s="74">
        <v>5150</v>
      </c>
      <c r="I6" s="22">
        <v>1</v>
      </c>
      <c r="J6" s="24" t="s">
        <v>302</v>
      </c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1500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300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5750</v>
      </c>
      <c r="I10" s="24" t="s">
        <v>32</v>
      </c>
      <c r="J10" s="24">
        <v>7</v>
      </c>
      <c r="K10" s="41">
        <f>H10/J10</f>
        <v>821.428571428571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8150</v>
      </c>
      <c r="I11" s="24" t="s">
        <v>35</v>
      </c>
      <c r="J11" s="47">
        <f>H11+K10</f>
        <v>8971.42857142857</v>
      </c>
      <c r="K11" s="48">
        <f>J11*J10</f>
        <v>62800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837.333333333333</v>
      </c>
      <c r="G12" s="22" t="s">
        <v>39</v>
      </c>
      <c r="H12" s="53">
        <v>12500</v>
      </c>
      <c r="I12" s="24" t="s">
        <v>40</v>
      </c>
      <c r="J12" s="54">
        <f>K11/H12</f>
        <v>5.024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78" t="s">
        <v>303</v>
      </c>
      <c r="B14" s="62" t="s">
        <v>106</v>
      </c>
      <c r="C14" s="63">
        <v>45</v>
      </c>
      <c r="D14" s="72">
        <v>2600</v>
      </c>
      <c r="E14" s="63">
        <v>1850</v>
      </c>
      <c r="F14" s="65">
        <f t="shared" ref="F14:F45" si="0">$J$12+(C14*$J$10/$L$10)</f>
        <v>5.924</v>
      </c>
      <c r="G14" s="65">
        <f t="shared" ref="G14:G45" si="1">IF(D14="","",($J$11-$H$7+D14)*$J$10/$H$12)</f>
        <v>5.64</v>
      </c>
      <c r="H14" s="66">
        <f t="shared" ref="H14:H45" si="2">IF(E14="","",($J$11-$H$7+E14)*$J$10/$H$12)</f>
        <v>5.22</v>
      </c>
      <c r="I14" s="65">
        <f t="shared" ref="I14:I45" si="3">$F$12+(C14*$J$10/$L$12)</f>
        <v>1012.33333333333</v>
      </c>
      <c r="J14" s="65">
        <f t="shared" ref="J14:J32" si="4">IF(D14="","",($J$11-$H$7+D14)*$J$10/$B$12)</f>
        <v>940</v>
      </c>
      <c r="K14" s="66">
        <f t="shared" ref="K14:K32" si="5">IF(E14="","",($J$11-$H$7+E14)*$J$10/$B$12)</f>
        <v>870</v>
      </c>
      <c r="L14" s="67">
        <v>7</v>
      </c>
    </row>
    <row r="15" ht="23.1" customHeight="1" spans="1:20">
      <c r="A15" s="78"/>
      <c r="B15" s="62" t="s">
        <v>118</v>
      </c>
      <c r="C15" s="63">
        <v>40</v>
      </c>
      <c r="D15" s="72">
        <v>2600</v>
      </c>
      <c r="E15" s="63"/>
      <c r="F15" s="65">
        <f t="shared" si="0"/>
        <v>5.824</v>
      </c>
      <c r="G15" s="65">
        <f t="shared" si="1"/>
        <v>5.64</v>
      </c>
      <c r="H15" s="66" t="str">
        <f t="shared" si="2"/>
        <v/>
      </c>
      <c r="I15" s="65">
        <f t="shared" si="3"/>
        <v>992.888888888889</v>
      </c>
      <c r="J15" s="65">
        <f t="shared" si="4"/>
        <v>940</v>
      </c>
      <c r="K15" s="66" t="str">
        <f t="shared" si="5"/>
        <v/>
      </c>
      <c r="L15" s="67">
        <v>7</v>
      </c>
    </row>
    <row r="16" ht="23.1" customHeight="1" spans="1:20">
      <c r="A16" s="78"/>
      <c r="B16" s="62" t="s">
        <v>197</v>
      </c>
      <c r="C16" s="63">
        <v>40</v>
      </c>
      <c r="D16" s="72">
        <v>2600</v>
      </c>
      <c r="E16" s="63"/>
      <c r="F16" s="65">
        <f t="shared" si="0"/>
        <v>5.824</v>
      </c>
      <c r="G16" s="65">
        <f t="shared" si="1"/>
        <v>5.64</v>
      </c>
      <c r="H16" s="66" t="str">
        <f t="shared" si="2"/>
        <v/>
      </c>
      <c r="I16" s="65">
        <f t="shared" si="3"/>
        <v>992.888888888889</v>
      </c>
      <c r="J16" s="65">
        <f t="shared" si="4"/>
        <v>940</v>
      </c>
      <c r="K16" s="66" t="str">
        <f t="shared" si="5"/>
        <v/>
      </c>
      <c r="L16" s="67">
        <v>7</v>
      </c>
    </row>
    <row r="17" ht="23.1" customHeight="1" spans="1:12">
      <c r="A17" s="78"/>
      <c r="B17" s="62" t="s">
        <v>235</v>
      </c>
      <c r="C17" s="63">
        <v>40</v>
      </c>
      <c r="D17" s="72">
        <v>2600</v>
      </c>
      <c r="E17" s="63"/>
      <c r="F17" s="65">
        <f t="shared" si="0"/>
        <v>5.824</v>
      </c>
      <c r="G17" s="65">
        <f t="shared" si="1"/>
        <v>5.64</v>
      </c>
      <c r="H17" s="66" t="str">
        <f t="shared" si="2"/>
        <v/>
      </c>
      <c r="I17" s="65">
        <f t="shared" si="3"/>
        <v>992.888888888889</v>
      </c>
      <c r="J17" s="65">
        <f t="shared" si="4"/>
        <v>940</v>
      </c>
      <c r="K17" s="66" t="str">
        <f t="shared" si="5"/>
        <v/>
      </c>
      <c r="L17" s="67">
        <v>7</v>
      </c>
    </row>
    <row r="18" ht="23.1" customHeight="1" spans="1:12">
      <c r="A18" s="78"/>
      <c r="B18" s="62" t="s">
        <v>120</v>
      </c>
      <c r="C18" s="63">
        <v>50</v>
      </c>
      <c r="D18" s="72">
        <v>2600</v>
      </c>
      <c r="E18" s="63"/>
      <c r="F18" s="65">
        <f t="shared" si="0"/>
        <v>6.024</v>
      </c>
      <c r="G18" s="65">
        <f t="shared" si="1"/>
        <v>5.64</v>
      </c>
      <c r="H18" s="66" t="str">
        <f t="shared" si="2"/>
        <v/>
      </c>
      <c r="I18" s="65">
        <f t="shared" si="3"/>
        <v>1031.77777777778</v>
      </c>
      <c r="J18" s="65">
        <f t="shared" si="4"/>
        <v>940</v>
      </c>
      <c r="K18" s="66" t="str">
        <f t="shared" si="5"/>
        <v/>
      </c>
      <c r="L18" s="67">
        <v>7</v>
      </c>
    </row>
    <row r="19" ht="23.1" customHeight="1" spans="1:12">
      <c r="A19" s="78"/>
      <c r="B19" s="62" t="s">
        <v>236</v>
      </c>
      <c r="C19" s="63">
        <v>50</v>
      </c>
      <c r="D19" s="72">
        <v>2600</v>
      </c>
      <c r="E19" s="63"/>
      <c r="F19" s="65">
        <f t="shared" si="0"/>
        <v>6.024</v>
      </c>
      <c r="G19" s="65">
        <f t="shared" si="1"/>
        <v>5.64</v>
      </c>
      <c r="H19" s="66" t="str">
        <f t="shared" si="2"/>
        <v/>
      </c>
      <c r="I19" s="65">
        <f t="shared" si="3"/>
        <v>1031.77777777778</v>
      </c>
      <c r="J19" s="65">
        <f t="shared" si="4"/>
        <v>940</v>
      </c>
      <c r="K19" s="66" t="str">
        <f t="shared" si="5"/>
        <v/>
      </c>
      <c r="L19" s="67">
        <v>7</v>
      </c>
    </row>
    <row r="20" ht="23.1" customHeight="1" spans="1:12">
      <c r="A20" s="78"/>
      <c r="B20" s="62" t="s">
        <v>129</v>
      </c>
      <c r="C20" s="63">
        <v>60</v>
      </c>
      <c r="D20" s="72">
        <v>2600</v>
      </c>
      <c r="E20" s="63"/>
      <c r="F20" s="65">
        <f t="shared" si="0"/>
        <v>6.224</v>
      </c>
      <c r="G20" s="65">
        <f t="shared" si="1"/>
        <v>5.64</v>
      </c>
      <c r="H20" s="66" t="str">
        <f t="shared" si="2"/>
        <v/>
      </c>
      <c r="I20" s="65">
        <f t="shared" si="3"/>
        <v>1070.66666666667</v>
      </c>
      <c r="J20" s="65">
        <f t="shared" si="4"/>
        <v>940</v>
      </c>
      <c r="K20" s="66" t="str">
        <f t="shared" si="5"/>
        <v/>
      </c>
      <c r="L20" s="67">
        <v>7</v>
      </c>
    </row>
    <row r="21" ht="23.1" customHeight="1" spans="1:12">
      <c r="A21" s="78"/>
      <c r="B21" s="62" t="s">
        <v>233</v>
      </c>
      <c r="C21" s="63">
        <v>35</v>
      </c>
      <c r="D21" s="72">
        <v>2600</v>
      </c>
      <c r="E21" s="63"/>
      <c r="F21" s="65">
        <f t="shared" si="0"/>
        <v>5.724</v>
      </c>
      <c r="G21" s="65">
        <f t="shared" si="1"/>
        <v>5.64</v>
      </c>
      <c r="H21" s="66" t="str">
        <f t="shared" si="2"/>
        <v/>
      </c>
      <c r="I21" s="65">
        <f t="shared" si="3"/>
        <v>973.444444444444</v>
      </c>
      <c r="J21" s="65">
        <f t="shared" si="4"/>
        <v>940</v>
      </c>
      <c r="K21" s="66" t="str">
        <f t="shared" si="5"/>
        <v/>
      </c>
      <c r="L21" s="67">
        <v>7</v>
      </c>
    </row>
    <row r="22" ht="23.1" customHeight="1" spans="1:12">
      <c r="A22" s="78"/>
      <c r="B22" s="62" t="s">
        <v>304</v>
      </c>
      <c r="C22" s="63"/>
      <c r="D22" s="72">
        <v>2600</v>
      </c>
      <c r="E22" s="63"/>
      <c r="F22" s="65">
        <f t="shared" si="0"/>
        <v>5.024</v>
      </c>
      <c r="G22" s="65">
        <f t="shared" si="1"/>
        <v>5.64</v>
      </c>
      <c r="H22" s="66" t="str">
        <f t="shared" si="2"/>
        <v/>
      </c>
      <c r="I22" s="65">
        <f t="shared" si="3"/>
        <v>837.333333333333</v>
      </c>
      <c r="J22" s="65">
        <f t="shared" si="4"/>
        <v>940</v>
      </c>
      <c r="K22" s="66" t="str">
        <f t="shared" si="5"/>
        <v/>
      </c>
      <c r="L22" s="67"/>
    </row>
    <row r="23" ht="23.1" customHeight="1" spans="1:12">
      <c r="A23" s="79" t="s">
        <v>305</v>
      </c>
      <c r="B23" s="62" t="s">
        <v>105</v>
      </c>
      <c r="C23" s="63">
        <v>60</v>
      </c>
      <c r="D23" s="72">
        <v>3200</v>
      </c>
      <c r="E23" s="63"/>
      <c r="F23" s="65">
        <f t="shared" si="0"/>
        <v>6.224</v>
      </c>
      <c r="G23" s="65">
        <f t="shared" si="1"/>
        <v>5.976</v>
      </c>
      <c r="H23" s="66" t="str">
        <f t="shared" si="2"/>
        <v/>
      </c>
      <c r="I23" s="65">
        <f t="shared" si="3"/>
        <v>1070.66666666667</v>
      </c>
      <c r="J23" s="65">
        <f t="shared" si="4"/>
        <v>996</v>
      </c>
      <c r="K23" s="66" t="str">
        <f t="shared" si="5"/>
        <v/>
      </c>
      <c r="L23" s="67">
        <v>7.4</v>
      </c>
    </row>
    <row r="24" ht="23.1" customHeight="1" spans="1:12">
      <c r="A24" s="79"/>
      <c r="B24" s="62" t="s">
        <v>119</v>
      </c>
      <c r="C24" s="63">
        <v>75</v>
      </c>
      <c r="D24" s="72">
        <v>3200</v>
      </c>
      <c r="E24" s="63"/>
      <c r="F24" s="65">
        <f t="shared" si="0"/>
        <v>6.524</v>
      </c>
      <c r="G24" s="65">
        <f t="shared" si="1"/>
        <v>5.976</v>
      </c>
      <c r="H24" s="66" t="str">
        <f t="shared" si="2"/>
        <v/>
      </c>
      <c r="I24" s="65">
        <f t="shared" si="3"/>
        <v>1129</v>
      </c>
      <c r="J24" s="65">
        <f t="shared" si="4"/>
        <v>996</v>
      </c>
      <c r="K24" s="66" t="str">
        <f t="shared" si="5"/>
        <v/>
      </c>
      <c r="L24" s="67">
        <v>7.4</v>
      </c>
    </row>
    <row r="25" ht="23.1" customHeight="1" spans="1:12">
      <c r="A25" s="79"/>
      <c r="B25" s="62" t="s">
        <v>108</v>
      </c>
      <c r="C25" s="63">
        <v>65</v>
      </c>
      <c r="D25" s="72">
        <v>3200</v>
      </c>
      <c r="E25" s="63"/>
      <c r="F25" s="65">
        <f t="shared" si="0"/>
        <v>6.324</v>
      </c>
      <c r="G25" s="65">
        <f t="shared" si="1"/>
        <v>5.976</v>
      </c>
      <c r="H25" s="66" t="str">
        <f t="shared" si="2"/>
        <v/>
      </c>
      <c r="I25" s="65">
        <f t="shared" si="3"/>
        <v>1090.11111111111</v>
      </c>
      <c r="J25" s="65">
        <f t="shared" si="4"/>
        <v>996</v>
      </c>
      <c r="K25" s="66" t="str">
        <f t="shared" si="5"/>
        <v/>
      </c>
      <c r="L25" s="67">
        <v>7.4</v>
      </c>
    </row>
    <row r="26" ht="23.1" customHeight="1" spans="1:12">
      <c r="A26" s="79"/>
      <c r="B26" s="62" t="s">
        <v>217</v>
      </c>
      <c r="C26" s="63">
        <v>65</v>
      </c>
      <c r="D26" s="72">
        <v>3200</v>
      </c>
      <c r="E26" s="63"/>
      <c r="F26" s="65">
        <f t="shared" si="0"/>
        <v>6.324</v>
      </c>
      <c r="G26" s="65">
        <f t="shared" si="1"/>
        <v>5.976</v>
      </c>
      <c r="H26" s="66" t="str">
        <f t="shared" si="2"/>
        <v/>
      </c>
      <c r="I26" s="65">
        <f t="shared" si="3"/>
        <v>1090.11111111111</v>
      </c>
      <c r="J26" s="65">
        <f t="shared" si="4"/>
        <v>996</v>
      </c>
      <c r="K26" s="66" t="str">
        <f t="shared" si="5"/>
        <v/>
      </c>
      <c r="L26" s="67">
        <v>7.4</v>
      </c>
    </row>
    <row r="27" ht="23.1" customHeight="1" spans="1:12">
      <c r="A27" s="79"/>
      <c r="B27" s="62" t="s">
        <v>122</v>
      </c>
      <c r="C27" s="63">
        <v>80</v>
      </c>
      <c r="D27" s="72">
        <v>3200</v>
      </c>
      <c r="E27" s="63"/>
      <c r="F27" s="65">
        <f t="shared" si="0"/>
        <v>6.624</v>
      </c>
      <c r="G27" s="65">
        <f t="shared" si="1"/>
        <v>5.976</v>
      </c>
      <c r="H27" s="66" t="str">
        <f t="shared" si="2"/>
        <v/>
      </c>
      <c r="I27" s="65">
        <f t="shared" si="3"/>
        <v>1148.44444444444</v>
      </c>
      <c r="J27" s="65">
        <f t="shared" si="4"/>
        <v>996</v>
      </c>
      <c r="K27" s="66" t="str">
        <f t="shared" si="5"/>
        <v/>
      </c>
      <c r="L27" s="67">
        <v>7.4</v>
      </c>
    </row>
    <row r="28" ht="23.1" customHeight="1" spans="1:12">
      <c r="A28" s="79"/>
      <c r="B28" s="62" t="s">
        <v>123</v>
      </c>
      <c r="C28" s="63">
        <v>65</v>
      </c>
      <c r="D28" s="72">
        <v>3200</v>
      </c>
      <c r="E28" s="63"/>
      <c r="F28" s="65">
        <f t="shared" si="0"/>
        <v>6.324</v>
      </c>
      <c r="G28" s="65">
        <f t="shared" si="1"/>
        <v>5.976</v>
      </c>
      <c r="H28" s="66" t="str">
        <f t="shared" si="2"/>
        <v/>
      </c>
      <c r="I28" s="65">
        <f t="shared" si="3"/>
        <v>1090.11111111111</v>
      </c>
      <c r="J28" s="65">
        <f t="shared" si="4"/>
        <v>996</v>
      </c>
      <c r="K28" s="66" t="str">
        <f t="shared" si="5"/>
        <v/>
      </c>
      <c r="L28" s="67">
        <v>7.4</v>
      </c>
    </row>
    <row r="29" ht="23.1" customHeight="1" spans="1:12">
      <c r="A29" s="79"/>
      <c r="B29" s="80" t="s">
        <v>124</v>
      </c>
      <c r="C29" s="63">
        <v>65</v>
      </c>
      <c r="D29" s="72">
        <v>3200</v>
      </c>
      <c r="E29" s="63"/>
      <c r="F29" s="65">
        <f t="shared" si="0"/>
        <v>6.324</v>
      </c>
      <c r="G29" s="65">
        <f t="shared" si="1"/>
        <v>5.976</v>
      </c>
      <c r="H29" s="66" t="str">
        <f t="shared" si="2"/>
        <v/>
      </c>
      <c r="I29" s="65">
        <f t="shared" si="3"/>
        <v>1090.11111111111</v>
      </c>
      <c r="J29" s="65">
        <f t="shared" si="4"/>
        <v>996</v>
      </c>
      <c r="K29" s="66" t="str">
        <f t="shared" si="5"/>
        <v/>
      </c>
      <c r="L29" s="67">
        <v>7.4</v>
      </c>
    </row>
    <row r="30" ht="23.1" customHeight="1" spans="1:12">
      <c r="A30" s="79"/>
      <c r="B30" s="80" t="s">
        <v>232</v>
      </c>
      <c r="C30" s="63">
        <v>65</v>
      </c>
      <c r="D30" s="72">
        <v>3200</v>
      </c>
      <c r="E30" s="63"/>
      <c r="F30" s="65">
        <f t="shared" si="0"/>
        <v>6.324</v>
      </c>
      <c r="G30" s="65">
        <f t="shared" si="1"/>
        <v>5.976</v>
      </c>
      <c r="H30" s="66" t="str">
        <f t="shared" si="2"/>
        <v/>
      </c>
      <c r="I30" s="65">
        <f t="shared" si="3"/>
        <v>1090.11111111111</v>
      </c>
      <c r="J30" s="65">
        <f t="shared" si="4"/>
        <v>996</v>
      </c>
      <c r="K30" s="66" t="str">
        <f t="shared" si="5"/>
        <v/>
      </c>
      <c r="L30" s="67">
        <v>7.4</v>
      </c>
    </row>
    <row r="31" ht="23.1" customHeight="1" spans="1:12">
      <c r="A31" s="79"/>
      <c r="B31" s="80" t="s">
        <v>176</v>
      </c>
      <c r="C31" s="63">
        <v>70</v>
      </c>
      <c r="D31" s="72">
        <v>3200</v>
      </c>
      <c r="E31" s="63"/>
      <c r="F31" s="65">
        <f t="shared" si="0"/>
        <v>6.424</v>
      </c>
      <c r="G31" s="65">
        <f t="shared" si="1"/>
        <v>5.976</v>
      </c>
      <c r="H31" s="66" t="str">
        <f t="shared" si="2"/>
        <v/>
      </c>
      <c r="I31" s="65">
        <f t="shared" si="3"/>
        <v>1109.55555555556</v>
      </c>
      <c r="J31" s="65">
        <f t="shared" si="4"/>
        <v>996</v>
      </c>
      <c r="K31" s="66" t="str">
        <f t="shared" si="5"/>
        <v/>
      </c>
      <c r="L31" s="67"/>
    </row>
    <row r="32" ht="23.1" customHeight="1" spans="1:12">
      <c r="A32" s="79"/>
      <c r="B32" s="80" t="s">
        <v>306</v>
      </c>
      <c r="C32" s="63"/>
      <c r="D32" s="72">
        <v>3200</v>
      </c>
      <c r="E32" s="63"/>
      <c r="F32" s="65">
        <f t="shared" si="0"/>
        <v>5.024</v>
      </c>
      <c r="G32" s="65">
        <f t="shared" si="1"/>
        <v>5.976</v>
      </c>
      <c r="H32" s="66" t="str">
        <f t="shared" si="2"/>
        <v/>
      </c>
      <c r="I32" s="65">
        <f t="shared" si="3"/>
        <v>837.333333333333</v>
      </c>
      <c r="J32" s="65">
        <f t="shared" si="4"/>
        <v>996</v>
      </c>
      <c r="K32" s="66" t="str">
        <f t="shared" si="5"/>
        <v/>
      </c>
      <c r="L32" s="67"/>
    </row>
    <row r="33" ht="23.1" customHeight="1" spans="1:12">
      <c r="A33" s="79"/>
      <c r="B33" s="80" t="s">
        <v>307</v>
      </c>
      <c r="C33" s="63"/>
      <c r="D33" s="72">
        <v>3200</v>
      </c>
      <c r="E33" s="63"/>
      <c r="F33" s="65">
        <f t="shared" si="0"/>
        <v>5.024</v>
      </c>
      <c r="G33" s="65">
        <f t="shared" si="1"/>
        <v>5.976</v>
      </c>
      <c r="H33" s="66" t="str">
        <f t="shared" si="2"/>
        <v/>
      </c>
      <c r="I33" s="65">
        <f t="shared" si="3"/>
        <v>837.333333333333</v>
      </c>
      <c r="J33" s="65">
        <f t="shared" ref="J33:J64" si="6">IF(D33="","",($J$11-$H$7+D33)*$J$10/$B$12)</f>
        <v>996</v>
      </c>
      <c r="K33" s="66"/>
      <c r="L33" s="67"/>
    </row>
    <row r="34" ht="23.1" customHeight="1" spans="1:12">
      <c r="A34" s="79"/>
      <c r="B34" s="62" t="s">
        <v>308</v>
      </c>
      <c r="C34" s="63"/>
      <c r="D34" s="72">
        <v>3200</v>
      </c>
      <c r="E34" s="63"/>
      <c r="F34" s="65">
        <f t="shared" si="0"/>
        <v>5.024</v>
      </c>
      <c r="G34" s="65">
        <f t="shared" si="1"/>
        <v>5.976</v>
      </c>
      <c r="H34" s="66" t="str">
        <f t="shared" si="2"/>
        <v/>
      </c>
      <c r="I34" s="65">
        <f t="shared" si="3"/>
        <v>837.333333333333</v>
      </c>
      <c r="J34" s="65">
        <f t="shared" si="6"/>
        <v>996</v>
      </c>
      <c r="K34" s="66" t="str">
        <f t="shared" ref="K34:K65" si="7">IF(E34="","",($J$11-$H$7+E34)*$J$10/$B$12)</f>
        <v/>
      </c>
      <c r="L34" s="67"/>
    </row>
    <row r="35" ht="23.1" customHeight="1" spans="1:12">
      <c r="A35" s="79" t="s">
        <v>309</v>
      </c>
      <c r="B35" s="62" t="s">
        <v>137</v>
      </c>
      <c r="C35" s="63">
        <v>80</v>
      </c>
      <c r="D35" s="72">
        <v>3800</v>
      </c>
      <c r="E35" s="63"/>
      <c r="F35" s="65">
        <f t="shared" si="0"/>
        <v>6.624</v>
      </c>
      <c r="G35" s="65">
        <f t="shared" si="1"/>
        <v>6.312</v>
      </c>
      <c r="H35" s="66" t="str">
        <f t="shared" si="2"/>
        <v/>
      </c>
      <c r="I35" s="65">
        <f t="shared" si="3"/>
        <v>1148.44444444444</v>
      </c>
      <c r="J35" s="65">
        <f t="shared" si="6"/>
        <v>1052</v>
      </c>
      <c r="K35" s="66" t="str">
        <f t="shared" si="7"/>
        <v/>
      </c>
      <c r="L35" s="67">
        <v>7.7</v>
      </c>
    </row>
    <row r="36" ht="23.1" customHeight="1" spans="1:12">
      <c r="A36" s="79"/>
      <c r="B36" s="62" t="s">
        <v>138</v>
      </c>
      <c r="C36" s="63">
        <v>80</v>
      </c>
      <c r="D36" s="72">
        <v>3800</v>
      </c>
      <c r="E36" s="63"/>
      <c r="F36" s="65">
        <f t="shared" si="0"/>
        <v>6.624</v>
      </c>
      <c r="G36" s="65">
        <f t="shared" si="1"/>
        <v>6.312</v>
      </c>
      <c r="H36" s="66" t="str">
        <f t="shared" si="2"/>
        <v/>
      </c>
      <c r="I36" s="65">
        <f t="shared" si="3"/>
        <v>1148.44444444444</v>
      </c>
      <c r="J36" s="65">
        <f t="shared" si="6"/>
        <v>1052</v>
      </c>
      <c r="K36" s="66" t="str">
        <f t="shared" si="7"/>
        <v/>
      </c>
      <c r="L36" s="67">
        <v>7.7</v>
      </c>
    </row>
    <row r="37" ht="23.1" customHeight="1" spans="1:12">
      <c r="A37" s="79"/>
      <c r="B37" s="62" t="s">
        <v>140</v>
      </c>
      <c r="C37" s="63">
        <v>120</v>
      </c>
      <c r="D37" s="72">
        <v>3800</v>
      </c>
      <c r="E37" s="63"/>
      <c r="F37" s="65">
        <f t="shared" si="0"/>
        <v>7.424</v>
      </c>
      <c r="G37" s="65">
        <f t="shared" si="1"/>
        <v>6.312</v>
      </c>
      <c r="H37" s="66" t="str">
        <f t="shared" si="2"/>
        <v/>
      </c>
      <c r="I37" s="65">
        <f t="shared" si="3"/>
        <v>1304</v>
      </c>
      <c r="J37" s="65">
        <f t="shared" si="6"/>
        <v>1052</v>
      </c>
      <c r="K37" s="66" t="str">
        <f t="shared" si="7"/>
        <v/>
      </c>
      <c r="L37" s="67"/>
    </row>
    <row r="38" ht="15.75" spans="1:12">
      <c r="A38" s="79"/>
      <c r="B38" s="62" t="s">
        <v>135</v>
      </c>
      <c r="C38" s="63">
        <v>80</v>
      </c>
      <c r="D38" s="72">
        <v>3800</v>
      </c>
      <c r="E38" s="63"/>
      <c r="F38" s="65">
        <f t="shared" si="0"/>
        <v>6.624</v>
      </c>
      <c r="G38" s="65">
        <f t="shared" si="1"/>
        <v>6.312</v>
      </c>
      <c r="H38" s="66" t="str">
        <f t="shared" si="2"/>
        <v/>
      </c>
      <c r="I38" s="65">
        <f t="shared" si="3"/>
        <v>1148.44444444444</v>
      </c>
      <c r="J38" s="65">
        <f t="shared" si="6"/>
        <v>1052</v>
      </c>
      <c r="K38" s="66" t="str">
        <f t="shared" si="7"/>
        <v/>
      </c>
      <c r="L38" s="67">
        <v>7.7</v>
      </c>
    </row>
    <row r="39" ht="15.75" spans="1:12">
      <c r="A39" s="79"/>
      <c r="B39" s="62" t="s">
        <v>136</v>
      </c>
      <c r="C39" s="63">
        <v>80</v>
      </c>
      <c r="D39" s="72">
        <v>3800</v>
      </c>
      <c r="E39" s="63"/>
      <c r="F39" s="65">
        <f t="shared" si="0"/>
        <v>6.624</v>
      </c>
      <c r="G39" s="65">
        <f t="shared" si="1"/>
        <v>6.312</v>
      </c>
      <c r="H39" s="66" t="str">
        <f t="shared" si="2"/>
        <v/>
      </c>
      <c r="I39" s="65">
        <f t="shared" si="3"/>
        <v>1148.44444444444</v>
      </c>
      <c r="J39" s="65">
        <f t="shared" si="6"/>
        <v>1052</v>
      </c>
      <c r="K39" s="66" t="str">
        <f t="shared" si="7"/>
        <v/>
      </c>
      <c r="L39" s="67">
        <v>7.7</v>
      </c>
    </row>
    <row r="40" ht="15.75" spans="1:12">
      <c r="A40" s="79"/>
      <c r="B40" s="62" t="s">
        <v>310</v>
      </c>
      <c r="C40" s="63">
        <v>80</v>
      </c>
      <c r="D40" s="72">
        <v>3800</v>
      </c>
      <c r="E40" s="63"/>
      <c r="F40" s="65">
        <f t="shared" si="0"/>
        <v>6.624</v>
      </c>
      <c r="G40" s="65">
        <f t="shared" si="1"/>
        <v>6.312</v>
      </c>
      <c r="H40" s="66" t="str">
        <f t="shared" si="2"/>
        <v/>
      </c>
      <c r="I40" s="65">
        <f t="shared" si="3"/>
        <v>1148.44444444444</v>
      </c>
      <c r="J40" s="65">
        <f t="shared" si="6"/>
        <v>1052</v>
      </c>
      <c r="K40" s="66" t="str">
        <f t="shared" si="7"/>
        <v/>
      </c>
      <c r="L40" s="67">
        <v>7.7</v>
      </c>
    </row>
    <row r="41" ht="15.75" spans="1:12">
      <c r="A41" s="79" t="s">
        <v>311</v>
      </c>
      <c r="B41" s="62" t="s">
        <v>201</v>
      </c>
      <c r="C41" s="63">
        <v>120</v>
      </c>
      <c r="D41" s="72">
        <v>4600</v>
      </c>
      <c r="E41" s="63"/>
      <c r="F41" s="65">
        <f t="shared" si="0"/>
        <v>7.424</v>
      </c>
      <c r="G41" s="65">
        <f t="shared" si="1"/>
        <v>6.76</v>
      </c>
      <c r="H41" s="66" t="str">
        <f t="shared" si="2"/>
        <v/>
      </c>
      <c r="I41" s="65">
        <f t="shared" si="3"/>
        <v>1304</v>
      </c>
      <c r="J41" s="65">
        <f t="shared" si="6"/>
        <v>1126.66666666667</v>
      </c>
      <c r="K41" s="66" t="str">
        <f t="shared" si="7"/>
        <v/>
      </c>
      <c r="L41" s="67"/>
    </row>
    <row r="42" ht="15.75" spans="1:12">
      <c r="A42" s="79"/>
      <c r="B42" s="62" t="s">
        <v>204</v>
      </c>
      <c r="C42" s="63">
        <v>120</v>
      </c>
      <c r="D42" s="72">
        <v>4600</v>
      </c>
      <c r="E42" s="63"/>
      <c r="F42" s="65">
        <f t="shared" si="0"/>
        <v>7.424</v>
      </c>
      <c r="G42" s="65">
        <f t="shared" si="1"/>
        <v>6.76</v>
      </c>
      <c r="H42" s="66" t="str">
        <f t="shared" si="2"/>
        <v/>
      </c>
      <c r="I42" s="65">
        <f t="shared" si="3"/>
        <v>1304</v>
      </c>
      <c r="J42" s="65">
        <f t="shared" si="6"/>
        <v>1126.66666666667</v>
      </c>
      <c r="K42" s="66" t="str">
        <f t="shared" si="7"/>
        <v/>
      </c>
      <c r="L42" s="67">
        <v>8.2</v>
      </c>
    </row>
    <row r="43" ht="15.75" spans="1:12">
      <c r="A43" s="79"/>
      <c r="B43" s="62" t="s">
        <v>107</v>
      </c>
      <c r="C43" s="63">
        <v>155</v>
      </c>
      <c r="D43" s="72">
        <v>4600</v>
      </c>
      <c r="E43" s="63"/>
      <c r="F43" s="65">
        <f t="shared" si="0"/>
        <v>8.124</v>
      </c>
      <c r="G43" s="65">
        <f t="shared" si="1"/>
        <v>6.76</v>
      </c>
      <c r="H43" s="66" t="str">
        <f t="shared" si="2"/>
        <v/>
      </c>
      <c r="I43" s="65">
        <f t="shared" si="3"/>
        <v>1440.11111111111</v>
      </c>
      <c r="J43" s="65">
        <f t="shared" si="6"/>
        <v>1126.66666666667</v>
      </c>
      <c r="K43" s="66" t="str">
        <f t="shared" si="7"/>
        <v/>
      </c>
      <c r="L43" s="67"/>
    </row>
    <row r="44" ht="15.75" spans="1:12">
      <c r="A44" s="79"/>
      <c r="B44" s="62" t="s">
        <v>125</v>
      </c>
      <c r="C44" s="63">
        <v>155</v>
      </c>
      <c r="D44" s="72">
        <v>4600</v>
      </c>
      <c r="E44" s="63"/>
      <c r="F44" s="65">
        <f t="shared" si="0"/>
        <v>8.124</v>
      </c>
      <c r="G44" s="65">
        <f t="shared" si="1"/>
        <v>6.76</v>
      </c>
      <c r="H44" s="66" t="str">
        <f t="shared" si="2"/>
        <v/>
      </c>
      <c r="I44" s="65">
        <f t="shared" si="3"/>
        <v>1440.11111111111</v>
      </c>
      <c r="J44" s="65">
        <f t="shared" si="6"/>
        <v>1126.66666666667</v>
      </c>
      <c r="K44" s="66" t="str">
        <f t="shared" si="7"/>
        <v/>
      </c>
      <c r="L44" s="67"/>
    </row>
    <row r="45" ht="15.75" spans="1:12">
      <c r="A45" s="79"/>
      <c r="B45" s="62" t="s">
        <v>209</v>
      </c>
      <c r="C45" s="63">
        <v>120</v>
      </c>
      <c r="D45" s="72">
        <v>4600</v>
      </c>
      <c r="E45" s="63"/>
      <c r="F45" s="65">
        <f t="shared" si="0"/>
        <v>7.424</v>
      </c>
      <c r="G45" s="65">
        <f t="shared" si="1"/>
        <v>6.76</v>
      </c>
      <c r="H45" s="66" t="str">
        <f t="shared" si="2"/>
        <v/>
      </c>
      <c r="I45" s="65">
        <f t="shared" si="3"/>
        <v>1304</v>
      </c>
      <c r="J45" s="65">
        <f t="shared" si="6"/>
        <v>1126.66666666667</v>
      </c>
      <c r="K45" s="66" t="str">
        <f t="shared" si="7"/>
        <v/>
      </c>
      <c r="L45" s="67">
        <v>8.2</v>
      </c>
    </row>
    <row r="46" ht="15.75" spans="1:12">
      <c r="A46" s="79"/>
      <c r="B46" s="62" t="s">
        <v>121</v>
      </c>
      <c r="C46" s="63">
        <v>120</v>
      </c>
      <c r="D46" s="72">
        <v>4600</v>
      </c>
      <c r="E46" s="63"/>
      <c r="F46" s="65">
        <f t="shared" ref="F46:F82" si="8">$J$12+(C46*$J$10/$L$10)</f>
        <v>7.424</v>
      </c>
      <c r="G46" s="65">
        <f t="shared" ref="G46:G82" si="9">IF(D46="","",($J$11-$H$7+D46)*$J$10/$H$12)</f>
        <v>6.76</v>
      </c>
      <c r="H46" s="66" t="str">
        <f t="shared" ref="H46:H82" si="10">IF(E46="","",($J$11-$H$7+E46)*$J$10/$H$12)</f>
        <v/>
      </c>
      <c r="I46" s="65">
        <f t="shared" ref="I46:I82" si="11">$F$12+(C46*$J$10/$L$12)</f>
        <v>1304</v>
      </c>
      <c r="J46" s="65">
        <f t="shared" si="6"/>
        <v>1126.66666666667</v>
      </c>
      <c r="K46" s="66" t="str">
        <f t="shared" si="7"/>
        <v/>
      </c>
      <c r="L46" s="67">
        <v>8.2</v>
      </c>
    </row>
    <row r="47" ht="15.75" spans="1:12">
      <c r="A47" s="79"/>
      <c r="B47" s="62" t="s">
        <v>312</v>
      </c>
      <c r="C47" s="63"/>
      <c r="D47" s="72">
        <v>4600</v>
      </c>
      <c r="E47" s="63"/>
      <c r="F47" s="65">
        <f t="shared" si="8"/>
        <v>5.024</v>
      </c>
      <c r="G47" s="65">
        <f t="shared" si="9"/>
        <v>6.76</v>
      </c>
      <c r="H47" s="66" t="str">
        <f t="shared" si="10"/>
        <v/>
      </c>
      <c r="I47" s="65">
        <f t="shared" si="11"/>
        <v>837.333333333333</v>
      </c>
      <c r="J47" s="65">
        <f t="shared" si="6"/>
        <v>1126.66666666667</v>
      </c>
      <c r="K47" s="66" t="str">
        <f t="shared" si="7"/>
        <v/>
      </c>
      <c r="L47" s="67"/>
    </row>
    <row r="48" ht="15.75" spans="1:12">
      <c r="A48" s="79"/>
      <c r="B48" s="62" t="s">
        <v>313</v>
      </c>
      <c r="C48" s="63"/>
      <c r="D48" s="72">
        <v>4600</v>
      </c>
      <c r="E48" s="63"/>
      <c r="F48" s="65">
        <f t="shared" si="8"/>
        <v>5.024</v>
      </c>
      <c r="G48" s="65">
        <f t="shared" si="9"/>
        <v>6.76</v>
      </c>
      <c r="H48" s="66" t="str">
        <f t="shared" si="10"/>
        <v/>
      </c>
      <c r="I48" s="65">
        <f t="shared" si="11"/>
        <v>837.333333333333</v>
      </c>
      <c r="J48" s="65">
        <f t="shared" si="6"/>
        <v>1126.66666666667</v>
      </c>
      <c r="K48" s="66" t="str">
        <f t="shared" si="7"/>
        <v/>
      </c>
      <c r="L48" s="67"/>
    </row>
    <row r="49" ht="15.75" spans="2:12">
      <c r="B49" s="62" t="s">
        <v>178</v>
      </c>
      <c r="C49" s="63">
        <v>40</v>
      </c>
      <c r="D49" s="72"/>
      <c r="E49" s="63"/>
      <c r="F49" s="65">
        <f t="shared" si="8"/>
        <v>5.824</v>
      </c>
      <c r="G49" s="65" t="str">
        <f t="shared" si="9"/>
        <v/>
      </c>
      <c r="H49" s="66" t="str">
        <f t="shared" si="10"/>
        <v/>
      </c>
      <c r="I49" s="65">
        <f t="shared" si="11"/>
        <v>992.888888888889</v>
      </c>
      <c r="J49" s="65" t="str">
        <f t="shared" si="6"/>
        <v/>
      </c>
      <c r="K49" s="66" t="str">
        <f t="shared" si="7"/>
        <v/>
      </c>
      <c r="L49" s="67"/>
    </row>
    <row r="50" ht="15.75" spans="2:12">
      <c r="B50" s="62" t="s">
        <v>314</v>
      </c>
      <c r="C50" s="63">
        <v>40</v>
      </c>
      <c r="D50" s="72"/>
      <c r="E50" s="63"/>
      <c r="F50" s="65">
        <f t="shared" si="8"/>
        <v>5.824</v>
      </c>
      <c r="G50" s="65" t="str">
        <f t="shared" si="9"/>
        <v/>
      </c>
      <c r="H50" s="66" t="str">
        <f t="shared" si="10"/>
        <v/>
      </c>
      <c r="I50" s="65">
        <f t="shared" si="11"/>
        <v>992.888888888889</v>
      </c>
      <c r="J50" s="65" t="str">
        <f t="shared" si="6"/>
        <v/>
      </c>
      <c r="K50" s="66" t="str">
        <f t="shared" si="7"/>
        <v/>
      </c>
      <c r="L50" s="67"/>
    </row>
    <row r="51" ht="15.75" spans="2:12">
      <c r="B51" s="62" t="s">
        <v>234</v>
      </c>
      <c r="C51" s="63">
        <v>40</v>
      </c>
      <c r="D51" s="72"/>
      <c r="E51" s="63"/>
      <c r="F51" s="65">
        <f t="shared" si="8"/>
        <v>5.824</v>
      </c>
      <c r="G51" s="65" t="str">
        <f t="shared" si="9"/>
        <v/>
      </c>
      <c r="H51" s="66" t="str">
        <f t="shared" si="10"/>
        <v/>
      </c>
      <c r="I51" s="65">
        <f t="shared" si="11"/>
        <v>992.888888888889</v>
      </c>
      <c r="J51" s="65" t="str">
        <f t="shared" si="6"/>
        <v/>
      </c>
      <c r="K51" s="66" t="str">
        <f t="shared" si="7"/>
        <v/>
      </c>
      <c r="L51" s="67"/>
    </row>
    <row r="52" ht="15.75" spans="2:12">
      <c r="B52" s="62" t="s">
        <v>315</v>
      </c>
      <c r="C52" s="63">
        <v>50</v>
      </c>
      <c r="D52" s="72"/>
      <c r="E52" s="63"/>
      <c r="F52" s="65">
        <f t="shared" si="8"/>
        <v>6.024</v>
      </c>
      <c r="G52" s="65" t="str">
        <f t="shared" si="9"/>
        <v/>
      </c>
      <c r="H52" s="66" t="str">
        <f t="shared" si="10"/>
        <v/>
      </c>
      <c r="I52" s="65">
        <f t="shared" si="11"/>
        <v>1031.77777777778</v>
      </c>
      <c r="J52" s="65" t="str">
        <f t="shared" si="6"/>
        <v/>
      </c>
      <c r="K52" s="66" t="str">
        <f t="shared" si="7"/>
        <v/>
      </c>
      <c r="L52" s="67"/>
    </row>
    <row r="53" ht="15.75" spans="2:12">
      <c r="B53" s="62" t="s">
        <v>250</v>
      </c>
      <c r="C53" s="63">
        <v>90</v>
      </c>
      <c r="D53" s="72"/>
      <c r="E53" s="63"/>
      <c r="F53" s="65">
        <f t="shared" si="8"/>
        <v>6.824</v>
      </c>
      <c r="G53" s="65" t="str">
        <f t="shared" si="9"/>
        <v/>
      </c>
      <c r="H53" s="66" t="str">
        <f t="shared" si="10"/>
        <v/>
      </c>
      <c r="I53" s="65">
        <f t="shared" si="11"/>
        <v>1187.33333333333</v>
      </c>
      <c r="J53" s="65" t="str">
        <f t="shared" si="6"/>
        <v/>
      </c>
      <c r="K53" s="66" t="str">
        <f t="shared" si="7"/>
        <v/>
      </c>
      <c r="L53" s="67"/>
    </row>
    <row r="54" ht="15.75" spans="2:12">
      <c r="B54" s="62" t="s">
        <v>316</v>
      </c>
      <c r="C54" s="63">
        <v>60</v>
      </c>
      <c r="D54" s="72"/>
      <c r="E54" s="63"/>
      <c r="F54" s="65">
        <f t="shared" si="8"/>
        <v>6.224</v>
      </c>
      <c r="G54" s="65" t="str">
        <f t="shared" si="9"/>
        <v/>
      </c>
      <c r="H54" s="66" t="str">
        <f t="shared" si="10"/>
        <v/>
      </c>
      <c r="I54" s="65">
        <f t="shared" si="11"/>
        <v>1070.66666666667</v>
      </c>
      <c r="J54" s="65" t="str">
        <f t="shared" si="6"/>
        <v/>
      </c>
      <c r="K54" s="66" t="str">
        <f t="shared" si="7"/>
        <v/>
      </c>
      <c r="L54" s="67"/>
    </row>
    <row r="55" ht="15.75" spans="2:12">
      <c r="B55" s="62" t="s">
        <v>317</v>
      </c>
      <c r="C55" s="63">
        <v>60</v>
      </c>
      <c r="D55" s="72"/>
      <c r="E55" s="63"/>
      <c r="F55" s="65">
        <f t="shared" si="8"/>
        <v>6.224</v>
      </c>
      <c r="G55" s="65" t="str">
        <f t="shared" si="9"/>
        <v/>
      </c>
      <c r="H55" s="66" t="str">
        <f t="shared" si="10"/>
        <v/>
      </c>
      <c r="I55" s="65">
        <f t="shared" si="11"/>
        <v>1070.66666666667</v>
      </c>
      <c r="J55" s="65" t="str">
        <f t="shared" si="6"/>
        <v/>
      </c>
      <c r="K55" s="66" t="str">
        <f t="shared" si="7"/>
        <v/>
      </c>
      <c r="L55" s="67"/>
    </row>
    <row r="56" ht="15.75" spans="2:12">
      <c r="B56" s="62" t="s">
        <v>208</v>
      </c>
      <c r="C56" s="63">
        <v>80</v>
      </c>
      <c r="D56" s="72"/>
      <c r="E56" s="63"/>
      <c r="F56" s="65">
        <f t="shared" si="8"/>
        <v>6.624</v>
      </c>
      <c r="G56" s="65" t="str">
        <f t="shared" si="9"/>
        <v/>
      </c>
      <c r="H56" s="66" t="str">
        <f t="shared" si="10"/>
        <v/>
      </c>
      <c r="I56" s="65">
        <f t="shared" si="11"/>
        <v>1148.44444444444</v>
      </c>
      <c r="J56" s="65" t="str">
        <f t="shared" si="6"/>
        <v/>
      </c>
      <c r="K56" s="66" t="str">
        <f t="shared" si="7"/>
        <v/>
      </c>
      <c r="L56" s="67"/>
    </row>
    <row r="57" ht="15.75" spans="2:12">
      <c r="B57" s="62" t="s">
        <v>318</v>
      </c>
      <c r="C57" s="63">
        <v>80</v>
      </c>
      <c r="D57" s="72"/>
      <c r="E57" s="63"/>
      <c r="F57" s="65">
        <f t="shared" si="8"/>
        <v>6.624</v>
      </c>
      <c r="G57" s="65" t="str">
        <f t="shared" si="9"/>
        <v/>
      </c>
      <c r="H57" s="66" t="str">
        <f t="shared" si="10"/>
        <v/>
      </c>
      <c r="I57" s="65">
        <f t="shared" si="11"/>
        <v>1148.44444444444</v>
      </c>
      <c r="J57" s="65" t="str">
        <f t="shared" si="6"/>
        <v/>
      </c>
      <c r="K57" s="66" t="str">
        <f t="shared" si="7"/>
        <v/>
      </c>
      <c r="L57" s="67"/>
    </row>
    <row r="58" ht="15.75" spans="2:12">
      <c r="B58" s="62" t="s">
        <v>319</v>
      </c>
      <c r="C58" s="63">
        <v>80</v>
      </c>
      <c r="D58" s="72"/>
      <c r="E58" s="63"/>
      <c r="F58" s="65">
        <f t="shared" si="8"/>
        <v>6.624</v>
      </c>
      <c r="G58" s="65" t="str">
        <f t="shared" si="9"/>
        <v/>
      </c>
      <c r="H58" s="66" t="str">
        <f t="shared" si="10"/>
        <v/>
      </c>
      <c r="I58" s="65">
        <f t="shared" si="11"/>
        <v>1148.44444444444</v>
      </c>
      <c r="J58" s="65" t="str">
        <f t="shared" si="6"/>
        <v/>
      </c>
      <c r="K58" s="66" t="str">
        <f t="shared" si="7"/>
        <v/>
      </c>
      <c r="L58" s="67"/>
    </row>
    <row r="59" ht="15.75" spans="2:12">
      <c r="B59" s="62" t="s">
        <v>320</v>
      </c>
      <c r="C59" s="63">
        <v>80</v>
      </c>
      <c r="D59" s="72"/>
      <c r="E59" s="63"/>
      <c r="F59" s="65">
        <f t="shared" si="8"/>
        <v>6.624</v>
      </c>
      <c r="G59" s="65" t="str">
        <f t="shared" si="9"/>
        <v/>
      </c>
      <c r="H59" s="66" t="str">
        <f t="shared" si="10"/>
        <v/>
      </c>
      <c r="I59" s="65">
        <f t="shared" si="11"/>
        <v>1148.44444444444</v>
      </c>
      <c r="J59" s="65" t="str">
        <f t="shared" si="6"/>
        <v/>
      </c>
      <c r="K59" s="66" t="str">
        <f t="shared" si="7"/>
        <v/>
      </c>
      <c r="L59" s="67"/>
    </row>
    <row r="60" ht="15.75" spans="2:12">
      <c r="B60" s="62" t="s">
        <v>321</v>
      </c>
      <c r="C60" s="63">
        <v>80</v>
      </c>
      <c r="D60" s="72"/>
      <c r="E60" s="63"/>
      <c r="F60" s="65">
        <f t="shared" si="8"/>
        <v>6.624</v>
      </c>
      <c r="G60" s="65" t="str">
        <f t="shared" si="9"/>
        <v/>
      </c>
      <c r="H60" s="66" t="str">
        <f t="shared" si="10"/>
        <v/>
      </c>
      <c r="I60" s="65">
        <f t="shared" si="11"/>
        <v>1148.44444444444</v>
      </c>
      <c r="J60" s="65" t="str">
        <f t="shared" si="6"/>
        <v/>
      </c>
      <c r="K60" s="66" t="str">
        <f t="shared" si="7"/>
        <v/>
      </c>
      <c r="L60" s="67"/>
    </row>
    <row r="61" ht="15.75" spans="2:12">
      <c r="B61" s="62" t="s">
        <v>322</v>
      </c>
      <c r="C61" s="63">
        <v>80</v>
      </c>
      <c r="D61" s="72"/>
      <c r="E61" s="63"/>
      <c r="F61" s="65">
        <f t="shared" si="8"/>
        <v>6.624</v>
      </c>
      <c r="G61" s="65" t="str">
        <f t="shared" si="9"/>
        <v/>
      </c>
      <c r="H61" s="66" t="str">
        <f t="shared" si="10"/>
        <v/>
      </c>
      <c r="I61" s="65">
        <f t="shared" si="11"/>
        <v>1148.44444444444</v>
      </c>
      <c r="J61" s="65" t="str">
        <f t="shared" si="6"/>
        <v/>
      </c>
      <c r="K61" s="66" t="str">
        <f t="shared" si="7"/>
        <v/>
      </c>
      <c r="L61" s="67"/>
    </row>
    <row r="62" ht="15.75" spans="2:12">
      <c r="B62" s="62" t="s">
        <v>323</v>
      </c>
      <c r="C62" s="63">
        <v>80</v>
      </c>
      <c r="D62" s="72"/>
      <c r="E62" s="63"/>
      <c r="F62" s="65">
        <f t="shared" si="8"/>
        <v>6.624</v>
      </c>
      <c r="G62" s="65" t="str">
        <f t="shared" si="9"/>
        <v/>
      </c>
      <c r="H62" s="66" t="str">
        <f t="shared" si="10"/>
        <v/>
      </c>
      <c r="I62" s="65">
        <f t="shared" si="11"/>
        <v>1148.44444444444</v>
      </c>
      <c r="J62" s="65" t="str">
        <f t="shared" si="6"/>
        <v/>
      </c>
      <c r="K62" s="66" t="str">
        <f t="shared" si="7"/>
        <v/>
      </c>
      <c r="L62" s="67"/>
    </row>
    <row r="63" ht="15.75" spans="2:12">
      <c r="B63" s="62" t="s">
        <v>324</v>
      </c>
      <c r="C63" s="63">
        <v>80</v>
      </c>
      <c r="D63" s="72"/>
      <c r="E63" s="63"/>
      <c r="F63" s="65">
        <f t="shared" si="8"/>
        <v>6.624</v>
      </c>
      <c r="G63" s="65" t="str">
        <f t="shared" si="9"/>
        <v/>
      </c>
      <c r="H63" s="66" t="str">
        <f t="shared" si="10"/>
        <v/>
      </c>
      <c r="I63" s="65">
        <f t="shared" si="11"/>
        <v>1148.44444444444</v>
      </c>
      <c r="J63" s="65" t="str">
        <f t="shared" si="6"/>
        <v/>
      </c>
      <c r="K63" s="66" t="str">
        <f t="shared" si="7"/>
        <v/>
      </c>
      <c r="L63" s="67"/>
    </row>
    <row r="64" ht="15.75" spans="2:12">
      <c r="B64" s="62" t="s">
        <v>325</v>
      </c>
      <c r="C64" s="63">
        <v>85</v>
      </c>
      <c r="D64" s="72"/>
      <c r="E64" s="63"/>
      <c r="F64" s="65">
        <f t="shared" si="8"/>
        <v>6.724</v>
      </c>
      <c r="G64" s="65" t="str">
        <f t="shared" si="9"/>
        <v/>
      </c>
      <c r="H64" s="66" t="str">
        <f t="shared" si="10"/>
        <v/>
      </c>
      <c r="I64" s="65">
        <f t="shared" si="11"/>
        <v>1167.88888888889</v>
      </c>
      <c r="J64" s="65" t="str">
        <f t="shared" si="6"/>
        <v/>
      </c>
      <c r="K64" s="66" t="str">
        <f t="shared" si="7"/>
        <v/>
      </c>
      <c r="L64" s="67"/>
    </row>
    <row r="65" ht="15.75" spans="2:12">
      <c r="B65" s="62" t="s">
        <v>326</v>
      </c>
      <c r="C65" s="63">
        <v>80</v>
      </c>
      <c r="D65" s="72"/>
      <c r="E65" s="63"/>
      <c r="F65" s="65">
        <f t="shared" si="8"/>
        <v>6.624</v>
      </c>
      <c r="G65" s="65" t="str">
        <f t="shared" si="9"/>
        <v/>
      </c>
      <c r="H65" s="66" t="str">
        <f t="shared" si="10"/>
        <v/>
      </c>
      <c r="I65" s="65">
        <f t="shared" si="11"/>
        <v>1148.44444444444</v>
      </c>
      <c r="J65" s="65" t="str">
        <f t="shared" ref="J65:J82" si="12">IF(D65="","",($J$11-$H$7+D65)*$J$10/$B$12)</f>
        <v/>
      </c>
      <c r="K65" s="66" t="str">
        <f t="shared" si="7"/>
        <v/>
      </c>
      <c r="L65" s="67"/>
    </row>
    <row r="66" ht="15.75" spans="2:12">
      <c r="B66" s="62" t="s">
        <v>222</v>
      </c>
      <c r="C66" s="63">
        <v>80</v>
      </c>
      <c r="D66" s="72"/>
      <c r="E66" s="63"/>
      <c r="F66" s="65">
        <f t="shared" si="8"/>
        <v>6.624</v>
      </c>
      <c r="G66" s="65" t="str">
        <f t="shared" si="9"/>
        <v/>
      </c>
      <c r="H66" s="66" t="str">
        <f t="shared" si="10"/>
        <v/>
      </c>
      <c r="I66" s="65">
        <f t="shared" si="11"/>
        <v>1148.44444444444</v>
      </c>
      <c r="J66" s="65" t="str">
        <f t="shared" si="12"/>
        <v/>
      </c>
      <c r="K66" s="66" t="str">
        <f t="shared" ref="K66:K82" si="13">IF(E66="","",($J$11-$H$7+E66)*$J$10/$B$12)</f>
        <v/>
      </c>
      <c r="L66" s="67"/>
    </row>
    <row r="67" ht="15.75" spans="2:12">
      <c r="B67" s="62" t="s">
        <v>327</v>
      </c>
      <c r="C67" s="63">
        <v>90</v>
      </c>
      <c r="D67" s="72"/>
      <c r="E67" s="63"/>
      <c r="F67" s="65">
        <f t="shared" si="8"/>
        <v>6.824</v>
      </c>
      <c r="G67" s="65" t="str">
        <f t="shared" si="9"/>
        <v/>
      </c>
      <c r="H67" s="66" t="str">
        <f t="shared" si="10"/>
        <v/>
      </c>
      <c r="I67" s="65">
        <f t="shared" si="11"/>
        <v>1187.33333333333</v>
      </c>
      <c r="J67" s="65" t="str">
        <f t="shared" si="12"/>
        <v/>
      </c>
      <c r="K67" s="66" t="str">
        <f t="shared" si="13"/>
        <v/>
      </c>
      <c r="L67" s="67"/>
    </row>
    <row r="68" ht="15.75" spans="2:12">
      <c r="B68" s="62" t="s">
        <v>328</v>
      </c>
      <c r="C68" s="63">
        <v>90</v>
      </c>
      <c r="D68" s="72"/>
      <c r="E68" s="63"/>
      <c r="F68" s="65">
        <f t="shared" si="8"/>
        <v>6.824</v>
      </c>
      <c r="G68" s="65" t="str">
        <f t="shared" si="9"/>
        <v/>
      </c>
      <c r="H68" s="66" t="str">
        <f t="shared" si="10"/>
        <v/>
      </c>
      <c r="I68" s="65">
        <f t="shared" si="11"/>
        <v>1187.33333333333</v>
      </c>
      <c r="J68" s="65" t="str">
        <f t="shared" si="12"/>
        <v/>
      </c>
      <c r="K68" s="66" t="str">
        <f t="shared" si="13"/>
        <v/>
      </c>
      <c r="L68" s="67"/>
    </row>
    <row r="69" ht="15.75" spans="2:12">
      <c r="B69" s="62" t="s">
        <v>139</v>
      </c>
      <c r="C69" s="63">
        <v>90</v>
      </c>
      <c r="D69" s="72"/>
      <c r="E69" s="63"/>
      <c r="F69" s="65">
        <f t="shared" si="8"/>
        <v>6.824</v>
      </c>
      <c r="G69" s="65" t="str">
        <f t="shared" si="9"/>
        <v/>
      </c>
      <c r="H69" s="66" t="str">
        <f t="shared" si="10"/>
        <v/>
      </c>
      <c r="I69" s="65">
        <f t="shared" si="11"/>
        <v>1187.33333333333</v>
      </c>
      <c r="J69" s="65" t="str">
        <f t="shared" si="12"/>
        <v/>
      </c>
      <c r="K69" s="66" t="str">
        <f t="shared" si="13"/>
        <v/>
      </c>
      <c r="L69" s="67"/>
    </row>
    <row r="70" ht="15.75" spans="2:12">
      <c r="B70" s="62" t="s">
        <v>329</v>
      </c>
      <c r="C70" s="63">
        <v>90</v>
      </c>
      <c r="D70" s="72"/>
      <c r="E70" s="63"/>
      <c r="F70" s="65">
        <f t="shared" si="8"/>
        <v>6.824</v>
      </c>
      <c r="G70" s="65" t="str">
        <f t="shared" si="9"/>
        <v/>
      </c>
      <c r="H70" s="66" t="str">
        <f t="shared" si="10"/>
        <v/>
      </c>
      <c r="I70" s="65">
        <f t="shared" si="11"/>
        <v>1187.33333333333</v>
      </c>
      <c r="J70" s="65" t="str">
        <f t="shared" si="12"/>
        <v/>
      </c>
      <c r="K70" s="66" t="str">
        <f t="shared" si="13"/>
        <v/>
      </c>
      <c r="L70" s="67"/>
    </row>
    <row r="71" ht="15.75" spans="2:12">
      <c r="B71" s="62" t="s">
        <v>330</v>
      </c>
      <c r="C71" s="63">
        <v>120</v>
      </c>
      <c r="D71" s="72"/>
      <c r="E71" s="63"/>
      <c r="F71" s="65">
        <f t="shared" si="8"/>
        <v>7.424</v>
      </c>
      <c r="G71" s="65" t="str">
        <f t="shared" si="9"/>
        <v/>
      </c>
      <c r="H71" s="66" t="str">
        <f t="shared" si="10"/>
        <v/>
      </c>
      <c r="I71" s="65">
        <f t="shared" si="11"/>
        <v>1304</v>
      </c>
      <c r="J71" s="65" t="str">
        <f t="shared" si="12"/>
        <v/>
      </c>
      <c r="K71" s="66" t="str">
        <f t="shared" si="13"/>
        <v/>
      </c>
      <c r="L71" s="67"/>
    </row>
    <row r="72" ht="15.75" spans="2:12">
      <c r="B72" s="62" t="s">
        <v>331</v>
      </c>
      <c r="C72" s="63">
        <v>65</v>
      </c>
      <c r="D72" s="72"/>
      <c r="E72" s="63"/>
      <c r="F72" s="65">
        <f t="shared" si="8"/>
        <v>6.324</v>
      </c>
      <c r="G72" s="65" t="str">
        <f t="shared" si="9"/>
        <v/>
      </c>
      <c r="H72" s="66" t="str">
        <f t="shared" si="10"/>
        <v/>
      </c>
      <c r="I72" s="65">
        <f t="shared" si="11"/>
        <v>1090.11111111111</v>
      </c>
      <c r="J72" s="65" t="str">
        <f t="shared" si="12"/>
        <v/>
      </c>
      <c r="K72" s="66" t="str">
        <f t="shared" si="13"/>
        <v/>
      </c>
      <c r="L72" s="67"/>
    </row>
    <row r="73" ht="15.75" spans="2:12">
      <c r="B73" s="62" t="s">
        <v>332</v>
      </c>
      <c r="C73" s="63">
        <v>65</v>
      </c>
      <c r="D73" s="72"/>
      <c r="E73" s="63"/>
      <c r="F73" s="65">
        <f t="shared" si="8"/>
        <v>6.324</v>
      </c>
      <c r="G73" s="65" t="str">
        <f t="shared" si="9"/>
        <v/>
      </c>
      <c r="H73" s="66" t="str">
        <f t="shared" si="10"/>
        <v/>
      </c>
      <c r="I73" s="65">
        <f t="shared" si="11"/>
        <v>1090.11111111111</v>
      </c>
      <c r="J73" s="65" t="str">
        <f t="shared" si="12"/>
        <v/>
      </c>
      <c r="K73" s="66" t="str">
        <f t="shared" si="13"/>
        <v/>
      </c>
      <c r="L73" s="67"/>
    </row>
    <row r="74" ht="15.75" spans="2:12">
      <c r="B74" s="62" t="s">
        <v>288</v>
      </c>
      <c r="C74" s="63">
        <v>90</v>
      </c>
      <c r="D74" s="72"/>
      <c r="E74" s="63"/>
      <c r="F74" s="65">
        <f t="shared" si="8"/>
        <v>6.824</v>
      </c>
      <c r="G74" s="65" t="str">
        <f t="shared" si="9"/>
        <v/>
      </c>
      <c r="H74" s="66" t="str">
        <f t="shared" si="10"/>
        <v/>
      </c>
      <c r="I74" s="65">
        <f t="shared" si="11"/>
        <v>1187.33333333333</v>
      </c>
      <c r="J74" s="65" t="str">
        <f t="shared" si="12"/>
        <v/>
      </c>
      <c r="K74" s="66" t="str">
        <f t="shared" si="13"/>
        <v/>
      </c>
      <c r="L74" s="67"/>
    </row>
    <row r="75" ht="15.75" spans="2:12">
      <c r="B75" s="62" t="s">
        <v>333</v>
      </c>
      <c r="C75" s="63">
        <v>90</v>
      </c>
      <c r="D75" s="72"/>
      <c r="E75" s="63"/>
      <c r="F75" s="65">
        <f t="shared" si="8"/>
        <v>6.824</v>
      </c>
      <c r="G75" s="65" t="str">
        <f t="shared" si="9"/>
        <v/>
      </c>
      <c r="H75" s="66" t="str">
        <f t="shared" si="10"/>
        <v/>
      </c>
      <c r="I75" s="65">
        <f t="shared" si="11"/>
        <v>1187.33333333333</v>
      </c>
      <c r="J75" s="65" t="str">
        <f t="shared" si="12"/>
        <v/>
      </c>
      <c r="K75" s="66" t="str">
        <f t="shared" si="13"/>
        <v/>
      </c>
      <c r="L75" s="67"/>
    </row>
    <row r="76" ht="15.75" spans="2:12">
      <c r="B76" s="62" t="s">
        <v>175</v>
      </c>
      <c r="C76" s="63">
        <v>120</v>
      </c>
      <c r="D76" s="72"/>
      <c r="E76" s="63"/>
      <c r="F76" s="65">
        <f t="shared" si="8"/>
        <v>7.424</v>
      </c>
      <c r="G76" s="65" t="str">
        <f t="shared" si="9"/>
        <v/>
      </c>
      <c r="H76" s="66" t="str">
        <f t="shared" si="10"/>
        <v/>
      </c>
      <c r="I76" s="65">
        <f t="shared" si="11"/>
        <v>1304</v>
      </c>
      <c r="J76" s="65" t="str">
        <f t="shared" si="12"/>
        <v/>
      </c>
      <c r="K76" s="66" t="str">
        <f t="shared" si="13"/>
        <v/>
      </c>
      <c r="L76" s="67"/>
    </row>
    <row r="77" ht="15.75" spans="2:12">
      <c r="B77" s="62" t="s">
        <v>334</v>
      </c>
      <c r="C77" s="63">
        <v>120</v>
      </c>
      <c r="D77" s="72"/>
      <c r="E77" s="63"/>
      <c r="F77" s="65">
        <f t="shared" si="8"/>
        <v>7.424</v>
      </c>
      <c r="G77" s="65" t="str">
        <f t="shared" si="9"/>
        <v/>
      </c>
      <c r="H77" s="66" t="str">
        <f t="shared" si="10"/>
        <v/>
      </c>
      <c r="I77" s="65">
        <f t="shared" si="11"/>
        <v>1304</v>
      </c>
      <c r="J77" s="65" t="str">
        <f t="shared" si="12"/>
        <v/>
      </c>
      <c r="K77" s="66" t="str">
        <f t="shared" si="13"/>
        <v/>
      </c>
      <c r="L77" s="67"/>
    </row>
    <row r="78" ht="15.75" spans="2:12">
      <c r="B78" s="62" t="s">
        <v>205</v>
      </c>
      <c r="C78" s="63">
        <v>125</v>
      </c>
      <c r="D78" s="72"/>
      <c r="E78" s="63"/>
      <c r="F78" s="65">
        <f t="shared" si="8"/>
        <v>7.524</v>
      </c>
      <c r="G78" s="65" t="str">
        <f t="shared" si="9"/>
        <v/>
      </c>
      <c r="H78" s="66" t="str">
        <f t="shared" si="10"/>
        <v/>
      </c>
      <c r="I78" s="65">
        <f t="shared" si="11"/>
        <v>1323.44444444444</v>
      </c>
      <c r="J78" s="65" t="str">
        <f t="shared" si="12"/>
        <v/>
      </c>
      <c r="K78" s="66" t="str">
        <f t="shared" si="13"/>
        <v/>
      </c>
      <c r="L78" s="67"/>
    </row>
    <row r="79" ht="15.75" spans="2:12">
      <c r="B79" s="62" t="s">
        <v>210</v>
      </c>
      <c r="C79" s="63">
        <v>130</v>
      </c>
      <c r="D79" s="72"/>
      <c r="E79" s="63"/>
      <c r="F79" s="65">
        <f t="shared" si="8"/>
        <v>7.624</v>
      </c>
      <c r="G79" s="65" t="str">
        <f t="shared" si="9"/>
        <v/>
      </c>
      <c r="H79" s="66" t="str">
        <f t="shared" si="10"/>
        <v/>
      </c>
      <c r="I79" s="65">
        <f t="shared" si="11"/>
        <v>1342.88888888889</v>
      </c>
      <c r="J79" s="65" t="str">
        <f t="shared" si="12"/>
        <v/>
      </c>
      <c r="K79" s="66" t="str">
        <f t="shared" si="13"/>
        <v/>
      </c>
      <c r="L79" s="67"/>
    </row>
    <row r="80" ht="15.75" spans="2:12">
      <c r="B80" s="62" t="s">
        <v>335</v>
      </c>
      <c r="C80" s="63">
        <v>120</v>
      </c>
      <c r="D80" s="72"/>
      <c r="E80" s="63"/>
      <c r="F80" s="65">
        <f t="shared" si="8"/>
        <v>7.424</v>
      </c>
      <c r="G80" s="65" t="str">
        <f t="shared" si="9"/>
        <v/>
      </c>
      <c r="H80" s="66" t="str">
        <f t="shared" si="10"/>
        <v/>
      </c>
      <c r="I80" s="65">
        <f t="shared" si="11"/>
        <v>1304</v>
      </c>
      <c r="J80" s="65" t="str">
        <f t="shared" si="12"/>
        <v/>
      </c>
      <c r="K80" s="66" t="str">
        <f t="shared" si="13"/>
        <v/>
      </c>
      <c r="L80" s="67"/>
    </row>
    <row r="81" ht="15.75" spans="2:12">
      <c r="B81" s="62" t="s">
        <v>336</v>
      </c>
      <c r="C81" s="63">
        <v>175</v>
      </c>
      <c r="D81" s="72"/>
      <c r="E81" s="63"/>
      <c r="F81" s="65">
        <f t="shared" si="8"/>
        <v>8.524</v>
      </c>
      <c r="G81" s="65" t="str">
        <f t="shared" si="9"/>
        <v/>
      </c>
      <c r="H81" s="66" t="str">
        <f t="shared" si="10"/>
        <v/>
      </c>
      <c r="I81" s="65">
        <f t="shared" si="11"/>
        <v>1517.88888888889</v>
      </c>
      <c r="J81" s="65" t="str">
        <f t="shared" si="12"/>
        <v/>
      </c>
      <c r="K81" s="66" t="str">
        <f t="shared" si="13"/>
        <v/>
      </c>
      <c r="L81" s="67"/>
    </row>
    <row r="82" ht="15.75" spans="2:12">
      <c r="B82" s="62" t="s">
        <v>218</v>
      </c>
      <c r="C82" s="63">
        <v>180</v>
      </c>
      <c r="D82" s="72"/>
      <c r="E82" s="63"/>
      <c r="F82" s="65">
        <f t="shared" si="8"/>
        <v>8.624</v>
      </c>
      <c r="G82" s="65" t="str">
        <f t="shared" si="9"/>
        <v/>
      </c>
      <c r="H82" s="66" t="str">
        <f t="shared" si="10"/>
        <v/>
      </c>
      <c r="I82" s="65">
        <f t="shared" si="11"/>
        <v>1537.33333333333</v>
      </c>
      <c r="J82" s="65" t="str">
        <f t="shared" si="12"/>
        <v/>
      </c>
      <c r="K82" s="66" t="str">
        <f t="shared" si="13"/>
        <v/>
      </c>
      <c r="L82" s="67"/>
    </row>
  </sheetData>
  <mergeCells count="14">
    <mergeCell ref="B1:E1"/>
    <mergeCell ref="C7:E7"/>
    <mergeCell ref="B10:F10"/>
    <mergeCell ref="B11:F11"/>
    <mergeCell ref="B12:D12"/>
    <mergeCell ref="A1:A9"/>
    <mergeCell ref="A14:A22"/>
    <mergeCell ref="A23:A34"/>
    <mergeCell ref="A35:A40"/>
    <mergeCell ref="A41:A48"/>
    <mergeCell ref="B2:B6"/>
    <mergeCell ref="B7:B9"/>
    <mergeCell ref="C2:E6"/>
    <mergeCell ref="C8:E9"/>
  </mergeCells>
  <conditionalFormatting sqref="B14">
    <cfRule type="duplicateValues" dxfId="0" priority="34" stopIfTrue="1"/>
  </conditionalFormatting>
  <conditionalFormatting sqref="B15">
    <cfRule type="duplicateValues" dxfId="0" priority="33" stopIfTrue="1"/>
  </conditionalFormatting>
  <conditionalFormatting sqref="B16">
    <cfRule type="duplicateValues" dxfId="0" priority="32" stopIfTrue="1"/>
  </conditionalFormatting>
  <conditionalFormatting sqref="B17">
    <cfRule type="duplicateValues" dxfId="0" priority="31" stopIfTrue="1"/>
  </conditionalFormatting>
  <conditionalFormatting sqref="B18">
    <cfRule type="duplicateValues" dxfId="0" priority="30" stopIfTrue="1"/>
  </conditionalFormatting>
  <conditionalFormatting sqref="B19">
    <cfRule type="duplicateValues" dxfId="0" priority="29" stopIfTrue="1"/>
  </conditionalFormatting>
  <conditionalFormatting sqref="B20">
    <cfRule type="duplicateValues" dxfId="0" priority="27" stopIfTrue="1"/>
  </conditionalFormatting>
  <conditionalFormatting sqref="B21">
    <cfRule type="duplicateValues" dxfId="0" priority="26" stopIfTrue="1"/>
  </conditionalFormatting>
  <conditionalFormatting sqref="B22">
    <cfRule type="duplicateValues" dxfId="0" priority="25" stopIfTrue="1"/>
  </conditionalFormatting>
  <conditionalFormatting sqref="B23">
    <cfRule type="duplicateValues" dxfId="0" priority="24" stopIfTrue="1"/>
  </conditionalFormatting>
  <conditionalFormatting sqref="B24">
    <cfRule type="duplicateValues" dxfId="0" priority="23" stopIfTrue="1"/>
  </conditionalFormatting>
  <conditionalFormatting sqref="B25">
    <cfRule type="duplicateValues" dxfId="0" priority="22" stopIfTrue="1"/>
  </conditionalFormatting>
  <conditionalFormatting sqref="B26">
    <cfRule type="duplicateValues" dxfId="0" priority="21" stopIfTrue="1"/>
  </conditionalFormatting>
  <conditionalFormatting sqref="B27">
    <cfRule type="duplicateValues" dxfId="0" priority="20" stopIfTrue="1"/>
  </conditionalFormatting>
  <conditionalFormatting sqref="B28">
    <cfRule type="duplicateValues" dxfId="0" priority="18" stopIfTrue="1"/>
  </conditionalFormatting>
  <conditionalFormatting sqref="B29">
    <cfRule type="duplicateValues" dxfId="0" priority="14" stopIfTrue="1"/>
  </conditionalFormatting>
  <conditionalFormatting sqref="B30">
    <cfRule type="duplicateValues" dxfId="0" priority="13" stopIfTrue="1"/>
  </conditionalFormatting>
  <conditionalFormatting sqref="B31">
    <cfRule type="duplicateValues" dxfId="0" priority="11" stopIfTrue="1"/>
  </conditionalFormatting>
  <conditionalFormatting sqref="B34">
    <cfRule type="duplicateValues" dxfId="0" priority="9" stopIfTrue="1"/>
  </conditionalFormatting>
  <conditionalFormatting sqref="B35">
    <cfRule type="duplicateValues" dxfId="0" priority="8" stopIfTrue="1"/>
  </conditionalFormatting>
  <conditionalFormatting sqref="B36">
    <cfRule type="duplicateValues" dxfId="0" priority="4" stopIfTrue="1"/>
  </conditionalFormatting>
  <conditionalFormatting sqref="B38">
    <cfRule type="duplicateValues" dxfId="0" priority="28" stopIfTrue="1"/>
  </conditionalFormatting>
  <conditionalFormatting sqref="B39">
    <cfRule type="duplicateValues" dxfId="0" priority="19" stopIfTrue="1"/>
  </conditionalFormatting>
  <conditionalFormatting sqref="B40">
    <cfRule type="duplicateValues" dxfId="0" priority="17" stopIfTrue="1"/>
  </conditionalFormatting>
  <conditionalFormatting sqref="B41">
    <cfRule type="duplicateValues" dxfId="0" priority="16" stopIfTrue="1"/>
  </conditionalFormatting>
  <conditionalFormatting sqref="B42">
    <cfRule type="duplicateValues" dxfId="0" priority="15" stopIfTrue="1"/>
  </conditionalFormatting>
  <conditionalFormatting sqref="B43">
    <cfRule type="duplicateValues" dxfId="0" priority="12" stopIfTrue="1"/>
  </conditionalFormatting>
  <conditionalFormatting sqref="B44">
    <cfRule type="duplicateValues" dxfId="0" priority="7" stopIfTrue="1"/>
  </conditionalFormatting>
  <conditionalFormatting sqref="B45">
    <cfRule type="duplicateValues" dxfId="0" priority="6" stopIfTrue="1"/>
  </conditionalFormatting>
  <conditionalFormatting sqref="B46">
    <cfRule type="duplicateValues" dxfId="0" priority="5" stopIfTrue="1"/>
  </conditionalFormatting>
  <conditionalFormatting sqref="B47">
    <cfRule type="duplicateValues" dxfId="0" priority="3" stopIfTrue="1"/>
  </conditionalFormatting>
  <conditionalFormatting sqref="B32:B33">
    <cfRule type="duplicateValues" dxfId="0" priority="10" stopIfTrue="1"/>
  </conditionalFormatting>
  <conditionalFormatting sqref="B37:B47">
    <cfRule type="duplicateValues" dxfId="0" priority="2" stopIfTrue="1"/>
  </conditionalFormatting>
  <pageMargins left="0.7" right="0.7" top="0.75" bottom="0.75" header="0.3" footer="0.3"/>
  <headerFooter/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40"/>
  <sheetViews>
    <sheetView workbookViewId="0">
      <selection activeCell="A1" sqref="A1:A9"/>
    </sheetView>
  </sheetViews>
  <sheetFormatPr defaultColWidth="14" defaultRowHeight="12.75"/>
  <cols>
    <col min="1" max="1" width="19" customWidth="1"/>
    <col min="2" max="2" width="27" customWidth="1"/>
    <col min="3" max="8" width="14" customWidth="1"/>
    <col min="9" max="9" width="18" customWidth="1"/>
    <col min="10" max="11" width="14" customWidth="1"/>
    <col min="12" max="12" width="18" customWidth="1"/>
    <col min="13" max="14" width="14" customWidth="1"/>
    <col min="15" max="15" width="19" customWidth="1"/>
    <col min="16" max="20" width="14" customWidth="1"/>
  </cols>
  <sheetData>
    <row r="1" ht="12" customHeight="1" spans="1:20">
      <c r="A1" s="18" t="s">
        <v>0</v>
      </c>
      <c r="B1" s="19" t="s">
        <v>337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3500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18"/>
      <c r="B6" s="24"/>
      <c r="C6" s="36"/>
      <c r="D6" s="37"/>
      <c r="E6" s="38"/>
      <c r="F6" s="22" t="s">
        <v>21</v>
      </c>
      <c r="G6" s="22" t="s">
        <v>22</v>
      </c>
      <c r="H6" s="39">
        <v>3850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1500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1500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337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6450</v>
      </c>
      <c r="I10" s="24" t="s">
        <v>32</v>
      </c>
      <c r="J10" s="24">
        <v>7</v>
      </c>
      <c r="K10" s="41">
        <f>H10/J10</f>
        <v>921.428571428571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6850</v>
      </c>
      <c r="I11" s="24" t="s">
        <v>35</v>
      </c>
      <c r="J11" s="47">
        <f>H11+K10</f>
        <v>7771.42857142857</v>
      </c>
      <c r="K11" s="48">
        <f>J11*J10</f>
        <v>54400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725.333333333333</v>
      </c>
      <c r="G12" s="22" t="s">
        <v>39</v>
      </c>
      <c r="H12" s="53">
        <v>12500</v>
      </c>
      <c r="I12" s="24" t="s">
        <v>40</v>
      </c>
      <c r="J12" s="54">
        <f>K11/B12/167</f>
        <v>4.34331337325349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61" t="s">
        <v>338</v>
      </c>
      <c r="B14" s="72" t="s">
        <v>113</v>
      </c>
      <c r="C14" s="72">
        <v>45</v>
      </c>
      <c r="D14" s="72">
        <v>2000</v>
      </c>
      <c r="E14" s="63"/>
      <c r="F14" s="65">
        <f t="shared" ref="F14:F40" si="0">$J$12+(C14*$J$10/$L$10)</f>
        <v>5.24331337325349</v>
      </c>
      <c r="G14" s="65">
        <f t="shared" ref="G14:H16" si="1">IF(D14="","",($J$11-$H$7+D14)*$J$10/$H$12)</f>
        <v>4.632</v>
      </c>
      <c r="H14" s="66" t="str">
        <f t="shared" si="1"/>
        <v/>
      </c>
      <c r="I14" s="65">
        <f t="shared" ref="I14:I40" si="2">$F$12+(C14*$J$10/$L$12)</f>
        <v>900.333333333333</v>
      </c>
      <c r="J14" s="65">
        <f t="shared" ref="J14:K16" si="3">IF(D14="","",($J$11-$H$7+D14)*$J$10/$B$12)</f>
        <v>772</v>
      </c>
      <c r="K14" s="66" t="str">
        <f t="shared" si="3"/>
        <v/>
      </c>
      <c r="L14" s="67">
        <v>6.2</v>
      </c>
    </row>
    <row r="15" ht="23.1" customHeight="1" spans="1:20">
      <c r="A15" s="61"/>
      <c r="B15" s="72" t="s">
        <v>244</v>
      </c>
      <c r="C15" s="72">
        <v>45</v>
      </c>
      <c r="D15" s="72">
        <v>2000</v>
      </c>
      <c r="E15" s="63"/>
      <c r="F15" s="65">
        <f t="shared" si="0"/>
        <v>5.24331337325349</v>
      </c>
      <c r="G15" s="65">
        <f t="shared" si="1"/>
        <v>4.632</v>
      </c>
      <c r="H15" s="66" t="str">
        <f t="shared" si="1"/>
        <v/>
      </c>
      <c r="I15" s="65">
        <f t="shared" si="2"/>
        <v>900.333333333333</v>
      </c>
      <c r="J15" s="65">
        <f t="shared" si="3"/>
        <v>772</v>
      </c>
      <c r="K15" s="66" t="str">
        <f t="shared" si="3"/>
        <v/>
      </c>
      <c r="L15" s="67">
        <v>6.2</v>
      </c>
    </row>
    <row r="16" ht="23.1" customHeight="1" spans="1:20">
      <c r="A16" s="61"/>
      <c r="B16" s="72" t="s">
        <v>196</v>
      </c>
      <c r="C16" s="72">
        <v>45</v>
      </c>
      <c r="D16" s="72">
        <v>2000</v>
      </c>
      <c r="E16" s="63"/>
      <c r="F16" s="65">
        <f t="shared" si="0"/>
        <v>5.24331337325349</v>
      </c>
      <c r="G16" s="65">
        <f t="shared" si="1"/>
        <v>4.632</v>
      </c>
      <c r="H16" s="66" t="str">
        <f t="shared" si="1"/>
        <v/>
      </c>
      <c r="I16" s="65">
        <f t="shared" si="2"/>
        <v>900.333333333333</v>
      </c>
      <c r="J16" s="65">
        <f t="shared" si="3"/>
        <v>772</v>
      </c>
      <c r="K16" s="66" t="str">
        <f t="shared" si="3"/>
        <v/>
      </c>
      <c r="L16" s="67">
        <v>6.2</v>
      </c>
    </row>
    <row r="17" ht="23.1" customHeight="1" spans="1:12">
      <c r="A17" s="61"/>
      <c r="B17" s="72" t="s">
        <v>339</v>
      </c>
      <c r="C17" s="72">
        <v>45</v>
      </c>
      <c r="D17" s="72">
        <v>2000</v>
      </c>
      <c r="E17" s="63"/>
      <c r="F17" s="65">
        <f t="shared" si="0"/>
        <v>5.24331337325349</v>
      </c>
      <c r="G17" s="65">
        <f t="shared" ref="G17:G40" si="4">IF(D17="","",($J$11-$H$7+D17)*$J$10/$H$12)</f>
        <v>4.632</v>
      </c>
      <c r="H17" s="66"/>
      <c r="I17" s="65">
        <f t="shared" si="2"/>
        <v>900.333333333333</v>
      </c>
      <c r="J17" s="65">
        <f t="shared" ref="J17:J40" si="5">IF(D17="","",($J$11-$H$7+D17)*$J$10/$B$12)</f>
        <v>772</v>
      </c>
      <c r="K17" s="66"/>
      <c r="L17" s="67">
        <v>6.2</v>
      </c>
    </row>
    <row r="18" ht="23.1" customHeight="1" spans="1:12">
      <c r="A18" s="61"/>
      <c r="B18" s="72" t="s">
        <v>340</v>
      </c>
      <c r="C18" s="72"/>
      <c r="D18" s="72">
        <v>2000</v>
      </c>
      <c r="E18" s="63"/>
      <c r="F18" s="65">
        <f t="shared" si="0"/>
        <v>4.34331337325349</v>
      </c>
      <c r="G18" s="65">
        <f t="shared" si="4"/>
        <v>4.632</v>
      </c>
      <c r="H18" s="66"/>
      <c r="I18" s="65">
        <f t="shared" si="2"/>
        <v>725.333333333333</v>
      </c>
      <c r="J18" s="65">
        <f t="shared" si="5"/>
        <v>772</v>
      </c>
      <c r="K18" s="66"/>
      <c r="L18" s="67">
        <v>6.2</v>
      </c>
    </row>
    <row r="19" ht="23.1" customHeight="1" spans="1:12">
      <c r="A19" s="61"/>
      <c r="B19" s="72" t="s">
        <v>100</v>
      </c>
      <c r="C19" s="72">
        <v>65</v>
      </c>
      <c r="D19" s="72">
        <v>2000</v>
      </c>
      <c r="E19" s="63"/>
      <c r="F19" s="65">
        <f t="shared" si="0"/>
        <v>5.64331337325349</v>
      </c>
      <c r="G19" s="65">
        <f t="shared" si="4"/>
        <v>4.632</v>
      </c>
      <c r="H19" s="66"/>
      <c r="I19" s="65">
        <f t="shared" si="2"/>
        <v>978.111111111111</v>
      </c>
      <c r="J19" s="65">
        <f t="shared" si="5"/>
        <v>772</v>
      </c>
      <c r="K19" s="66"/>
      <c r="L19" s="67">
        <v>6.2</v>
      </c>
    </row>
    <row r="20" ht="23.1" customHeight="1" spans="1:12">
      <c r="A20" s="61" t="s">
        <v>341</v>
      </c>
      <c r="B20" s="72" t="s">
        <v>200</v>
      </c>
      <c r="C20" s="72">
        <v>65</v>
      </c>
      <c r="D20" s="72">
        <v>2900</v>
      </c>
      <c r="E20" s="63"/>
      <c r="F20" s="65">
        <f t="shared" si="0"/>
        <v>5.64331337325349</v>
      </c>
      <c r="G20" s="65">
        <f t="shared" si="4"/>
        <v>5.136</v>
      </c>
      <c r="H20" s="66"/>
      <c r="I20" s="65">
        <f t="shared" si="2"/>
        <v>978.111111111111</v>
      </c>
      <c r="J20" s="65">
        <f t="shared" si="5"/>
        <v>856</v>
      </c>
      <c r="K20" s="66"/>
      <c r="L20" s="67">
        <v>6.7</v>
      </c>
    </row>
    <row r="21" ht="23.1" customHeight="1" spans="1:12">
      <c r="A21" s="61"/>
      <c r="B21" s="72" t="s">
        <v>104</v>
      </c>
      <c r="C21" s="72">
        <v>40</v>
      </c>
      <c r="D21" s="72">
        <v>2900</v>
      </c>
      <c r="E21" s="63"/>
      <c r="F21" s="65">
        <f t="shared" si="0"/>
        <v>5.14331337325349</v>
      </c>
      <c r="G21" s="65">
        <f t="shared" si="4"/>
        <v>5.136</v>
      </c>
      <c r="H21" s="66" t="str">
        <f t="shared" ref="H21:H28" si="6">IF(E21="","",($J$11-$H$7+E21)*$J$10/$H$12)</f>
        <v/>
      </c>
      <c r="I21" s="65">
        <f t="shared" si="2"/>
        <v>880.888888888889</v>
      </c>
      <c r="J21" s="65">
        <f t="shared" si="5"/>
        <v>856</v>
      </c>
      <c r="K21" s="66" t="str">
        <f t="shared" ref="K21:K28" si="7">IF(E21="","",($J$11-$H$7+E21)*$J$10/$B$12)</f>
        <v/>
      </c>
      <c r="L21" s="67">
        <v>6.7</v>
      </c>
    </row>
    <row r="22" ht="23.1" customHeight="1" spans="1:12">
      <c r="A22" s="61"/>
      <c r="B22" s="72" t="s">
        <v>174</v>
      </c>
      <c r="C22" s="72">
        <v>40</v>
      </c>
      <c r="D22" s="72">
        <v>2900</v>
      </c>
      <c r="E22" s="63"/>
      <c r="F22" s="65">
        <f t="shared" si="0"/>
        <v>5.14331337325349</v>
      </c>
      <c r="G22" s="65">
        <f t="shared" si="4"/>
        <v>5.136</v>
      </c>
      <c r="H22" s="66" t="str">
        <f t="shared" si="6"/>
        <v/>
      </c>
      <c r="I22" s="65">
        <f t="shared" si="2"/>
        <v>880.888888888889</v>
      </c>
      <c r="J22" s="65">
        <f t="shared" si="5"/>
        <v>856</v>
      </c>
      <c r="K22" s="66" t="str">
        <f t="shared" si="7"/>
        <v/>
      </c>
      <c r="L22" s="67">
        <v>6.7</v>
      </c>
    </row>
    <row r="23" ht="23.1" customHeight="1" spans="1:12">
      <c r="A23" s="61"/>
      <c r="B23" s="72" t="s">
        <v>110</v>
      </c>
      <c r="C23" s="72">
        <v>65</v>
      </c>
      <c r="D23" s="72">
        <v>2900</v>
      </c>
      <c r="E23" s="63"/>
      <c r="F23" s="65">
        <f t="shared" si="0"/>
        <v>5.64331337325349</v>
      </c>
      <c r="G23" s="65">
        <f t="shared" si="4"/>
        <v>5.136</v>
      </c>
      <c r="H23" s="66" t="str">
        <f t="shared" si="6"/>
        <v/>
      </c>
      <c r="I23" s="65">
        <f t="shared" si="2"/>
        <v>978.111111111111</v>
      </c>
      <c r="J23" s="65">
        <f t="shared" si="5"/>
        <v>856</v>
      </c>
      <c r="K23" s="66" t="str">
        <f t="shared" si="7"/>
        <v/>
      </c>
      <c r="L23" s="67">
        <v>6.7</v>
      </c>
    </row>
    <row r="24" ht="23.1" customHeight="1" spans="1:12">
      <c r="A24" s="61"/>
      <c r="B24" s="72" t="s">
        <v>175</v>
      </c>
      <c r="C24" s="72">
        <v>55</v>
      </c>
      <c r="D24" s="72">
        <v>2900</v>
      </c>
      <c r="E24" s="63"/>
      <c r="F24" s="65">
        <f t="shared" si="0"/>
        <v>5.44331337325349</v>
      </c>
      <c r="G24" s="65">
        <f t="shared" si="4"/>
        <v>5.136</v>
      </c>
      <c r="H24" s="66" t="str">
        <f t="shared" si="6"/>
        <v/>
      </c>
      <c r="I24" s="65">
        <f t="shared" si="2"/>
        <v>939.222222222222</v>
      </c>
      <c r="J24" s="65">
        <f t="shared" si="5"/>
        <v>856</v>
      </c>
      <c r="K24" s="66" t="str">
        <f t="shared" si="7"/>
        <v/>
      </c>
      <c r="L24" s="67">
        <v>6.7</v>
      </c>
    </row>
    <row r="25" ht="23.1" customHeight="1" spans="1:12">
      <c r="A25" s="61"/>
      <c r="B25" s="72" t="s">
        <v>285</v>
      </c>
      <c r="C25" s="72">
        <v>65</v>
      </c>
      <c r="D25" s="72">
        <v>2900</v>
      </c>
      <c r="E25" s="63"/>
      <c r="F25" s="65">
        <f t="shared" si="0"/>
        <v>5.64331337325349</v>
      </c>
      <c r="G25" s="65">
        <f t="shared" si="4"/>
        <v>5.136</v>
      </c>
      <c r="H25" s="66" t="str">
        <f t="shared" si="6"/>
        <v/>
      </c>
      <c r="I25" s="65">
        <f t="shared" si="2"/>
        <v>978.111111111111</v>
      </c>
      <c r="J25" s="65">
        <f t="shared" si="5"/>
        <v>856</v>
      </c>
      <c r="K25" s="66" t="str">
        <f t="shared" si="7"/>
        <v/>
      </c>
      <c r="L25" s="67">
        <v>6.7</v>
      </c>
    </row>
    <row r="26" ht="23.1" customHeight="1" spans="1:12">
      <c r="A26" s="61"/>
      <c r="B26" s="72" t="s">
        <v>265</v>
      </c>
      <c r="C26" s="72">
        <v>45</v>
      </c>
      <c r="D26" s="72">
        <v>2900</v>
      </c>
      <c r="E26" s="63"/>
      <c r="F26" s="65">
        <f t="shared" si="0"/>
        <v>5.24331337325349</v>
      </c>
      <c r="G26" s="65">
        <f t="shared" si="4"/>
        <v>5.136</v>
      </c>
      <c r="H26" s="66" t="str">
        <f t="shared" si="6"/>
        <v/>
      </c>
      <c r="I26" s="65">
        <f t="shared" si="2"/>
        <v>900.333333333333</v>
      </c>
      <c r="J26" s="65">
        <f t="shared" si="5"/>
        <v>856</v>
      </c>
      <c r="K26" s="66" t="str">
        <f t="shared" si="7"/>
        <v/>
      </c>
      <c r="L26" s="67">
        <v>6.7</v>
      </c>
    </row>
    <row r="27" ht="23.1" customHeight="1" spans="1:12">
      <c r="A27" s="61"/>
      <c r="B27" s="72" t="s">
        <v>195</v>
      </c>
      <c r="C27" s="72">
        <v>65</v>
      </c>
      <c r="D27" s="72">
        <v>2900</v>
      </c>
      <c r="E27" s="63"/>
      <c r="F27" s="65">
        <f t="shared" si="0"/>
        <v>5.64331337325349</v>
      </c>
      <c r="G27" s="65">
        <f t="shared" si="4"/>
        <v>5.136</v>
      </c>
      <c r="H27" s="66" t="str">
        <f t="shared" si="6"/>
        <v/>
      </c>
      <c r="I27" s="65">
        <f t="shared" si="2"/>
        <v>978.111111111111</v>
      </c>
      <c r="J27" s="65">
        <f t="shared" si="5"/>
        <v>856</v>
      </c>
      <c r="K27" s="66" t="str">
        <f t="shared" si="7"/>
        <v/>
      </c>
      <c r="L27" s="67">
        <v>6.7</v>
      </c>
    </row>
    <row r="28" ht="23.1" customHeight="1" spans="1:12">
      <c r="A28" s="61"/>
      <c r="B28" s="72" t="s">
        <v>98</v>
      </c>
      <c r="C28" s="72">
        <v>50</v>
      </c>
      <c r="D28" s="72">
        <v>2900</v>
      </c>
      <c r="E28" s="63"/>
      <c r="F28" s="65">
        <f t="shared" si="0"/>
        <v>5.34331337325349</v>
      </c>
      <c r="G28" s="65">
        <f t="shared" si="4"/>
        <v>5.136</v>
      </c>
      <c r="H28" s="66" t="str">
        <f t="shared" si="6"/>
        <v/>
      </c>
      <c r="I28" s="65">
        <f t="shared" si="2"/>
        <v>919.777777777778</v>
      </c>
      <c r="J28" s="65">
        <f t="shared" si="5"/>
        <v>856</v>
      </c>
      <c r="K28" s="66" t="str">
        <f t="shared" si="7"/>
        <v/>
      </c>
      <c r="L28" s="67">
        <v>6.7</v>
      </c>
    </row>
    <row r="29" ht="23.1" customHeight="1" spans="1:12">
      <c r="A29" s="61"/>
      <c r="B29" s="72" t="s">
        <v>342</v>
      </c>
      <c r="C29" s="72">
        <v>90</v>
      </c>
      <c r="D29" s="72">
        <v>2900</v>
      </c>
      <c r="E29" s="63"/>
      <c r="F29" s="65">
        <f t="shared" si="0"/>
        <v>6.14331337325349</v>
      </c>
      <c r="G29" s="65">
        <f t="shared" si="4"/>
        <v>5.136</v>
      </c>
      <c r="H29" s="66"/>
      <c r="I29" s="65">
        <f t="shared" si="2"/>
        <v>1075.33333333333</v>
      </c>
      <c r="J29" s="65">
        <f t="shared" si="5"/>
        <v>856</v>
      </c>
      <c r="K29" s="66"/>
      <c r="L29" s="67">
        <v>6.7</v>
      </c>
    </row>
    <row r="30" ht="23.1" customHeight="1" spans="1:12">
      <c r="A30" s="61"/>
      <c r="B30" s="72" t="s">
        <v>112</v>
      </c>
      <c r="C30" s="72">
        <v>85</v>
      </c>
      <c r="D30" s="72">
        <v>2900</v>
      </c>
      <c r="E30" s="63"/>
      <c r="F30" s="65">
        <f t="shared" si="0"/>
        <v>6.04331337325349</v>
      </c>
      <c r="G30" s="65">
        <f t="shared" si="4"/>
        <v>5.136</v>
      </c>
      <c r="H30" s="66" t="str">
        <f>IF(E30="","",($J$11-$H$7+E30)*$J$10/$H$12)</f>
        <v/>
      </c>
      <c r="I30" s="65">
        <f t="shared" si="2"/>
        <v>1055.88888888889</v>
      </c>
      <c r="J30" s="65">
        <f t="shared" si="5"/>
        <v>856</v>
      </c>
      <c r="K30" s="66" t="str">
        <f>IF(E30="","",($J$11-$H$7+E30)*$J$10/$B$12)</f>
        <v/>
      </c>
      <c r="L30" s="67">
        <v>6.7</v>
      </c>
    </row>
    <row r="31" ht="23.1" customHeight="1" spans="1:12">
      <c r="A31" s="61"/>
      <c r="B31" s="72" t="s">
        <v>111</v>
      </c>
      <c r="C31" s="72">
        <v>55</v>
      </c>
      <c r="D31" s="72">
        <v>2900</v>
      </c>
      <c r="E31" s="63"/>
      <c r="F31" s="65">
        <f t="shared" si="0"/>
        <v>5.44331337325349</v>
      </c>
      <c r="G31" s="65">
        <f t="shared" si="4"/>
        <v>5.136</v>
      </c>
      <c r="H31" s="66"/>
      <c r="I31" s="65">
        <f t="shared" si="2"/>
        <v>939.222222222222</v>
      </c>
      <c r="J31" s="65">
        <f t="shared" si="5"/>
        <v>856</v>
      </c>
      <c r="K31" s="66"/>
      <c r="L31" s="67">
        <v>6.7</v>
      </c>
    </row>
    <row r="32" ht="23.1" customHeight="1" spans="1:12">
      <c r="A32" s="61"/>
      <c r="B32" s="72" t="s">
        <v>287</v>
      </c>
      <c r="C32" s="72">
        <v>85</v>
      </c>
      <c r="D32" s="72">
        <v>2900</v>
      </c>
      <c r="E32" s="63"/>
      <c r="F32" s="65">
        <f t="shared" si="0"/>
        <v>6.04331337325349</v>
      </c>
      <c r="G32" s="65">
        <f t="shared" si="4"/>
        <v>5.136</v>
      </c>
      <c r="H32" s="66"/>
      <c r="I32" s="65">
        <f t="shared" si="2"/>
        <v>1055.88888888889</v>
      </c>
      <c r="J32" s="65">
        <f t="shared" si="5"/>
        <v>856</v>
      </c>
      <c r="K32" s="66"/>
      <c r="L32" s="67">
        <v>6.7</v>
      </c>
    </row>
    <row r="33" ht="23.1" customHeight="1" spans="1:12">
      <c r="A33" s="61" t="s">
        <v>343</v>
      </c>
      <c r="B33" s="72" t="s">
        <v>107</v>
      </c>
      <c r="C33" s="72">
        <v>145</v>
      </c>
      <c r="D33" s="72">
        <v>4050</v>
      </c>
      <c r="E33" s="63"/>
      <c r="F33" s="65">
        <f t="shared" si="0"/>
        <v>7.24331337325349</v>
      </c>
      <c r="G33" s="65">
        <f t="shared" si="4"/>
        <v>5.78</v>
      </c>
      <c r="H33" s="66"/>
      <c r="I33" s="65">
        <f t="shared" si="2"/>
        <v>1289.22222222222</v>
      </c>
      <c r="J33" s="65">
        <f t="shared" si="5"/>
        <v>963.333333333333</v>
      </c>
      <c r="K33" s="66"/>
      <c r="L33" s="67"/>
    </row>
    <row r="34" ht="23.1" customHeight="1" spans="1:12">
      <c r="A34" s="61"/>
      <c r="B34" s="72" t="s">
        <v>125</v>
      </c>
      <c r="C34" s="72">
        <v>115</v>
      </c>
      <c r="D34" s="72">
        <v>4050</v>
      </c>
      <c r="E34" s="63"/>
      <c r="F34" s="65">
        <f t="shared" si="0"/>
        <v>6.64331337325349</v>
      </c>
      <c r="G34" s="65">
        <f t="shared" si="4"/>
        <v>5.78</v>
      </c>
      <c r="H34" s="66" t="str">
        <f t="shared" ref="H34:H40" si="8">IF(E34="","",($J$11-$H$7+E34)*$J$10/$H$12)</f>
        <v/>
      </c>
      <c r="I34" s="65">
        <f t="shared" si="2"/>
        <v>1172.55555555556</v>
      </c>
      <c r="J34" s="65">
        <f t="shared" si="5"/>
        <v>963.333333333333</v>
      </c>
      <c r="K34" s="66" t="str">
        <f t="shared" ref="K34:K40" si="9">IF(E34="","",($J$11-$H$7+E34)*$J$10/$B$12)</f>
        <v/>
      </c>
      <c r="L34" s="67"/>
    </row>
    <row r="35" ht="23.1" customHeight="1" spans="1:12">
      <c r="A35" s="61"/>
      <c r="B35" s="72" t="s">
        <v>218</v>
      </c>
      <c r="C35" s="72">
        <v>115</v>
      </c>
      <c r="D35" s="72">
        <v>4050</v>
      </c>
      <c r="E35" s="63"/>
      <c r="F35" s="65">
        <f t="shared" si="0"/>
        <v>6.64331337325349</v>
      </c>
      <c r="G35" s="65">
        <f t="shared" si="4"/>
        <v>5.78</v>
      </c>
      <c r="H35" s="66" t="str">
        <f t="shared" si="8"/>
        <v/>
      </c>
      <c r="I35" s="65">
        <f t="shared" si="2"/>
        <v>1172.55555555556</v>
      </c>
      <c r="J35" s="65">
        <f t="shared" si="5"/>
        <v>963.333333333333</v>
      </c>
      <c r="K35" s="66" t="str">
        <f t="shared" si="9"/>
        <v/>
      </c>
      <c r="L35" s="67">
        <v>7.4</v>
      </c>
    </row>
    <row r="36" ht="23.1" customHeight="1" spans="1:12">
      <c r="A36" s="61"/>
      <c r="B36" s="72" t="s">
        <v>99</v>
      </c>
      <c r="C36" s="72">
        <v>130</v>
      </c>
      <c r="D36" s="72">
        <v>4050</v>
      </c>
      <c r="E36" s="63"/>
      <c r="F36" s="65">
        <f t="shared" si="0"/>
        <v>6.94331337325349</v>
      </c>
      <c r="G36" s="65">
        <f t="shared" si="4"/>
        <v>5.78</v>
      </c>
      <c r="H36" s="66" t="str">
        <f t="shared" si="8"/>
        <v/>
      </c>
      <c r="I36" s="65">
        <f t="shared" si="2"/>
        <v>1230.88888888889</v>
      </c>
      <c r="J36" s="65">
        <f t="shared" si="5"/>
        <v>963.333333333333</v>
      </c>
      <c r="K36" s="66" t="str">
        <f t="shared" si="9"/>
        <v/>
      </c>
      <c r="L36" s="67"/>
    </row>
    <row r="37" ht="23.1" customHeight="1" spans="1:12">
      <c r="A37" s="61"/>
      <c r="B37" s="72" t="s">
        <v>127</v>
      </c>
      <c r="C37" s="72">
        <v>135</v>
      </c>
      <c r="D37" s="72">
        <v>4050</v>
      </c>
      <c r="E37" s="63"/>
      <c r="F37" s="65">
        <f t="shared" si="0"/>
        <v>7.04331337325349</v>
      </c>
      <c r="G37" s="65">
        <f t="shared" si="4"/>
        <v>5.78</v>
      </c>
      <c r="H37" s="66" t="str">
        <f t="shared" si="8"/>
        <v/>
      </c>
      <c r="I37" s="65">
        <f t="shared" si="2"/>
        <v>1250.33333333333</v>
      </c>
      <c r="J37" s="65">
        <f t="shared" si="5"/>
        <v>963.333333333333</v>
      </c>
      <c r="K37" s="66" t="str">
        <f t="shared" si="9"/>
        <v/>
      </c>
      <c r="L37" s="67">
        <v>7.4</v>
      </c>
    </row>
    <row r="38" ht="23.1" customHeight="1" spans="1:12">
      <c r="A38" s="61"/>
      <c r="B38" s="72" t="s">
        <v>128</v>
      </c>
      <c r="C38" s="72">
        <v>115</v>
      </c>
      <c r="D38" s="72">
        <v>4050</v>
      </c>
      <c r="E38" s="63"/>
      <c r="F38" s="65">
        <f t="shared" si="0"/>
        <v>6.64331337325349</v>
      </c>
      <c r="G38" s="65">
        <f t="shared" si="4"/>
        <v>5.78</v>
      </c>
      <c r="H38" s="66" t="str">
        <f t="shared" si="8"/>
        <v/>
      </c>
      <c r="I38" s="65">
        <f t="shared" si="2"/>
        <v>1172.55555555556</v>
      </c>
      <c r="J38" s="65">
        <f t="shared" si="5"/>
        <v>963.333333333333</v>
      </c>
      <c r="K38" s="66" t="str">
        <f t="shared" si="9"/>
        <v/>
      </c>
      <c r="L38" s="67">
        <v>7.7</v>
      </c>
    </row>
    <row r="39" ht="15.75" spans="1:12">
      <c r="A39" s="61"/>
      <c r="B39" s="72" t="s">
        <v>210</v>
      </c>
      <c r="C39" s="72">
        <v>135</v>
      </c>
      <c r="D39" s="72">
        <v>4050</v>
      </c>
      <c r="E39" s="63"/>
      <c r="F39" s="65">
        <f t="shared" si="0"/>
        <v>7.04331337325349</v>
      </c>
      <c r="G39" s="65">
        <f t="shared" si="4"/>
        <v>5.78</v>
      </c>
      <c r="H39" s="66" t="str">
        <f t="shared" si="8"/>
        <v/>
      </c>
      <c r="I39" s="65">
        <f t="shared" si="2"/>
        <v>1250.33333333333</v>
      </c>
      <c r="J39" s="65">
        <f t="shared" si="5"/>
        <v>963.333333333333</v>
      </c>
      <c r="K39" s="66" t="str">
        <f t="shared" si="9"/>
        <v/>
      </c>
      <c r="L39" s="67">
        <v>7.7</v>
      </c>
    </row>
    <row r="40" ht="15.75" spans="1:12">
      <c r="A40" s="61"/>
      <c r="B40" s="72" t="s">
        <v>201</v>
      </c>
      <c r="C40" s="72"/>
      <c r="D40" s="72">
        <v>4050</v>
      </c>
      <c r="E40" s="63"/>
      <c r="F40" s="65">
        <f t="shared" si="0"/>
        <v>4.34331337325349</v>
      </c>
      <c r="G40" s="65">
        <f t="shared" si="4"/>
        <v>5.78</v>
      </c>
      <c r="H40" s="66" t="str">
        <f t="shared" si="8"/>
        <v/>
      </c>
      <c r="I40" s="65">
        <f t="shared" si="2"/>
        <v>725.333333333333</v>
      </c>
      <c r="J40" s="65">
        <f t="shared" si="5"/>
        <v>963.333333333333</v>
      </c>
      <c r="K40" s="66" t="str">
        <f t="shared" si="9"/>
        <v/>
      </c>
      <c r="L40" s="67">
        <v>7.7</v>
      </c>
    </row>
  </sheetData>
  <mergeCells count="13">
    <mergeCell ref="B1:E1"/>
    <mergeCell ref="C7:E7"/>
    <mergeCell ref="B10:F10"/>
    <mergeCell ref="B11:F11"/>
    <mergeCell ref="B12:D12"/>
    <mergeCell ref="A1:A9"/>
    <mergeCell ref="A14:A19"/>
    <mergeCell ref="A20:A32"/>
    <mergeCell ref="A33:A40"/>
    <mergeCell ref="B2:B6"/>
    <mergeCell ref="B7:B9"/>
    <mergeCell ref="C8:E9"/>
    <mergeCell ref="C2:E6"/>
  </mergeCells>
  <conditionalFormatting sqref="B14">
    <cfRule type="duplicateValues" dxfId="0" priority="19" stopIfTrue="1"/>
  </conditionalFormatting>
  <conditionalFormatting sqref="B15">
    <cfRule type="duplicateValues" dxfId="0" priority="18" stopIfTrue="1"/>
  </conditionalFormatting>
  <conditionalFormatting sqref="B16">
    <cfRule type="duplicateValues" dxfId="0" priority="15" stopIfTrue="1"/>
  </conditionalFormatting>
  <conditionalFormatting sqref="B21">
    <cfRule type="duplicateValues" dxfId="0" priority="8" stopIfTrue="1"/>
  </conditionalFormatting>
  <conditionalFormatting sqref="B22">
    <cfRule type="duplicateValues" dxfId="0" priority="6" stopIfTrue="1"/>
  </conditionalFormatting>
  <conditionalFormatting sqref="B24">
    <cfRule type="duplicateValues" dxfId="0" priority="7" stopIfTrue="1"/>
  </conditionalFormatting>
  <conditionalFormatting sqref="B25">
    <cfRule type="duplicateValues" dxfId="0" priority="4" stopIfTrue="1"/>
  </conditionalFormatting>
  <conditionalFormatting sqref="B26">
    <cfRule type="duplicateValues" dxfId="0" priority="5" stopIfTrue="1"/>
  </conditionalFormatting>
  <conditionalFormatting sqref="B27">
    <cfRule type="duplicateValues" dxfId="0" priority="3" stopIfTrue="1"/>
  </conditionalFormatting>
  <conditionalFormatting sqref="B35">
    <cfRule type="duplicateValues" dxfId="0" priority="11" stopIfTrue="1"/>
  </conditionalFormatting>
  <conditionalFormatting sqref="B37">
    <cfRule type="duplicateValues" dxfId="0" priority="16" stopIfTrue="1"/>
  </conditionalFormatting>
  <conditionalFormatting sqref="B38">
    <cfRule type="duplicateValues" dxfId="0" priority="9" stopIfTrue="1"/>
  </conditionalFormatting>
  <conditionalFormatting sqref="B16:B36">
    <cfRule type="duplicateValues" dxfId="0" priority="17" stopIfTrue="1"/>
  </conditionalFormatting>
  <conditionalFormatting sqref="B17:B20">
    <cfRule type="duplicateValues" dxfId="0" priority="14" stopIfTrue="1"/>
  </conditionalFormatting>
  <conditionalFormatting sqref="B21:B38">
    <cfRule type="duplicateValues" dxfId="0" priority="13" stopIfTrue="1"/>
  </conditionalFormatting>
  <conditionalFormatting sqref="B28:B38">
    <cfRule type="duplicateValues" dxfId="0" priority="2" stopIfTrue="1"/>
  </conditionalFormatting>
  <conditionalFormatting sqref="B30:B34">
    <cfRule type="duplicateValues" dxfId="0" priority="12" stopIfTrue="1"/>
  </conditionalFormatting>
  <conditionalFormatting sqref="B36:B37">
    <cfRule type="duplicateValues" dxfId="0" priority="10" stopIfTrue="1"/>
  </conditionalFormatting>
  <pageMargins left="0.7" right="0.7" top="0.75" bottom="0.75" header="0.3" footer="0.3"/>
  <headerFooter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0"/>
  <sheetViews>
    <sheetView workbookViewId="0">
      <selection activeCell="A1" sqref="A1:A9"/>
    </sheetView>
  </sheetViews>
  <sheetFormatPr defaultColWidth="14" defaultRowHeight="12.75"/>
  <cols>
    <col min="1" max="1" width="20" customWidth="1"/>
    <col min="2" max="2" width="27" customWidth="1"/>
    <col min="3" max="11" width="14" customWidth="1"/>
    <col min="12" max="12" width="18" customWidth="1"/>
    <col min="13" max="13" width="14" customWidth="1"/>
    <col min="14" max="14" width="19" customWidth="1"/>
    <col min="15" max="20" width="14" customWidth="1"/>
  </cols>
  <sheetData>
    <row r="1" ht="12" customHeight="1" spans="1:20">
      <c r="A1" s="18" t="s">
        <v>0</v>
      </c>
      <c r="B1" s="19" t="s">
        <v>344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  <c r="T1" s="26"/>
    </row>
    <row r="2" ht="12" customHeight="1" spans="1:20">
      <c r="A2" s="73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  <c r="T2" s="26"/>
    </row>
    <row r="3" ht="12" customHeight="1" spans="1:20">
      <c r="A3" s="73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  <c r="T3" s="26"/>
    </row>
    <row r="4" ht="12" customHeight="1" spans="1:20">
      <c r="A4" s="73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  <c r="T4" s="26"/>
    </row>
    <row r="5" ht="12" customHeight="1" spans="1:20">
      <c r="A5" s="73"/>
      <c r="B5" s="24"/>
      <c r="C5" s="31"/>
      <c r="D5" s="32"/>
      <c r="E5" s="33"/>
      <c r="F5" s="22" t="s">
        <v>20</v>
      </c>
      <c r="G5" s="22" t="s">
        <v>17</v>
      </c>
      <c r="H5" s="30">
        <v>3500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  <c r="T5" s="26"/>
    </row>
    <row r="6" ht="12" customHeight="1" spans="1:20">
      <c r="A6" s="73"/>
      <c r="B6" s="24"/>
      <c r="C6" s="36"/>
      <c r="D6" s="37"/>
      <c r="E6" s="38"/>
      <c r="F6" s="22" t="s">
        <v>21</v>
      </c>
      <c r="G6" s="22" t="s">
        <v>22</v>
      </c>
      <c r="H6" s="39">
        <v>3850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  <c r="T6" s="26"/>
    </row>
    <row r="7" ht="12" customHeight="1" spans="1:20">
      <c r="A7" s="73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1500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  <c r="T7" s="26"/>
    </row>
    <row r="8" ht="12" customHeight="1" spans="1:20">
      <c r="A8" s="73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  <c r="T8" s="26"/>
    </row>
    <row r="9" ht="12" customHeight="1" spans="1:20">
      <c r="A9" s="73"/>
      <c r="B9" s="24"/>
      <c r="C9" s="36"/>
      <c r="D9" s="37"/>
      <c r="E9" s="38"/>
      <c r="F9" s="22" t="s">
        <v>28</v>
      </c>
      <c r="G9" s="22" t="s">
        <v>22</v>
      </c>
      <c r="H9" s="74">
        <v>1500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  <c r="T9" s="26"/>
    </row>
    <row r="10" ht="12" customHeight="1" spans="1:20">
      <c r="A10" s="42" t="s">
        <v>344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6450</v>
      </c>
      <c r="I10" s="24" t="s">
        <v>32</v>
      </c>
      <c r="J10" s="24">
        <v>7</v>
      </c>
      <c r="K10" s="41">
        <f>H10/J10</f>
        <v>921.428571428571</v>
      </c>
      <c r="L10" s="45">
        <v>350</v>
      </c>
      <c r="M10" s="26"/>
      <c r="N10" s="26"/>
      <c r="O10" s="26"/>
      <c r="P10" s="26"/>
      <c r="Q10" s="26"/>
      <c r="R10" s="26"/>
      <c r="S10" s="26"/>
      <c r="T10" s="26"/>
    </row>
    <row r="11" ht="12" customHeight="1" spans="1:20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6850</v>
      </c>
      <c r="I11" s="24" t="s">
        <v>35</v>
      </c>
      <c r="J11" s="47">
        <f>H11+K10</f>
        <v>7771.42857142857</v>
      </c>
      <c r="K11" s="48">
        <f>J11*J10</f>
        <v>54400</v>
      </c>
      <c r="L11" s="25" t="s">
        <v>36</v>
      </c>
      <c r="M11" s="26"/>
      <c r="N11" s="26"/>
      <c r="O11" s="26"/>
      <c r="P11" s="26"/>
      <c r="Q11" s="26"/>
      <c r="R11" s="26"/>
      <c r="S11" s="26"/>
      <c r="T11" s="26"/>
    </row>
    <row r="12" ht="12" customHeight="1" spans="1:20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725.333333333333</v>
      </c>
      <c r="G12" s="22" t="s">
        <v>39</v>
      </c>
      <c r="H12" s="53">
        <v>12500</v>
      </c>
      <c r="I12" s="24" t="s">
        <v>40</v>
      </c>
      <c r="J12" s="54">
        <f>K11/H12</f>
        <v>4.352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  <c r="T12" s="26"/>
    </row>
    <row r="13" ht="15.95" customHeight="1" spans="1:20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20">
      <c r="A14" s="75" t="s">
        <v>345</v>
      </c>
      <c r="B14" s="75" t="s">
        <v>215</v>
      </c>
      <c r="C14" s="63">
        <v>65</v>
      </c>
      <c r="D14" s="72">
        <v>2700</v>
      </c>
      <c r="E14" s="63"/>
      <c r="F14" s="65">
        <f t="shared" ref="F14:F49" si="0">$J$12+(C14*$J$10/$L$10)</f>
        <v>5.652</v>
      </c>
      <c r="G14" s="65">
        <f t="shared" ref="G14:G49" si="1">IF(D14="","",($J$11-$H$7+D14)*$J$10/$H$12)</f>
        <v>5.024</v>
      </c>
      <c r="H14" s="66" t="str">
        <f t="shared" ref="H14:H49" si="2">IF(E14="","",($J$11-$H$7+E14)*$J$10/$H$12)</f>
        <v/>
      </c>
      <c r="I14" s="65">
        <f t="shared" ref="I14:I49" si="3">$F$12+(C14*$J$10/$L$12)</f>
        <v>978.111111111111</v>
      </c>
      <c r="J14" s="65">
        <f t="shared" ref="J14:J49" si="4">IF(D14="","",($J$11-$H$7+D14)*$J$10/$B$12)</f>
        <v>837.333333333333</v>
      </c>
      <c r="K14" s="66" t="str">
        <f t="shared" ref="K14:K49" si="5">IF(E14="","",($J$11-$H$7+E14)*$J$10/$B$12)</f>
        <v/>
      </c>
      <c r="L14" s="67"/>
    </row>
    <row r="15" ht="23.1" customHeight="1" spans="1:20">
      <c r="A15" s="75"/>
      <c r="B15" s="75" t="s">
        <v>142</v>
      </c>
      <c r="C15" s="63">
        <v>85</v>
      </c>
      <c r="D15" s="72">
        <v>2700</v>
      </c>
      <c r="E15" s="63"/>
      <c r="F15" s="65">
        <f t="shared" si="0"/>
        <v>6.052</v>
      </c>
      <c r="G15" s="65">
        <f t="shared" si="1"/>
        <v>5.024</v>
      </c>
      <c r="H15" s="66" t="str">
        <f t="shared" si="2"/>
        <v/>
      </c>
      <c r="I15" s="65">
        <f t="shared" si="3"/>
        <v>1055.88888888889</v>
      </c>
      <c r="J15" s="65">
        <f t="shared" si="4"/>
        <v>837.333333333333</v>
      </c>
      <c r="K15" s="66" t="str">
        <f t="shared" si="5"/>
        <v/>
      </c>
      <c r="L15" s="67">
        <v>6.4</v>
      </c>
    </row>
    <row r="16" ht="23.1" customHeight="1" spans="1:20">
      <c r="A16" s="75"/>
      <c r="B16" s="75" t="s">
        <v>227</v>
      </c>
      <c r="C16" s="63">
        <v>65</v>
      </c>
      <c r="D16" s="72">
        <v>2700</v>
      </c>
      <c r="E16" s="63"/>
      <c r="F16" s="65">
        <f t="shared" si="0"/>
        <v>5.652</v>
      </c>
      <c r="G16" s="65">
        <f t="shared" si="1"/>
        <v>5.024</v>
      </c>
      <c r="H16" s="66" t="str">
        <f t="shared" si="2"/>
        <v/>
      </c>
      <c r="I16" s="65">
        <f t="shared" si="3"/>
        <v>978.111111111111</v>
      </c>
      <c r="J16" s="65">
        <f t="shared" si="4"/>
        <v>837.333333333333</v>
      </c>
      <c r="K16" s="66" t="str">
        <f t="shared" si="5"/>
        <v/>
      </c>
      <c r="L16" s="67">
        <v>6.4</v>
      </c>
    </row>
    <row r="17" ht="23.1" customHeight="1" spans="1:12">
      <c r="A17" s="75"/>
      <c r="B17" s="75" t="s">
        <v>213</v>
      </c>
      <c r="C17" s="63">
        <v>85</v>
      </c>
      <c r="D17" s="72">
        <v>2700</v>
      </c>
      <c r="E17" s="63"/>
      <c r="F17" s="65">
        <f t="shared" si="0"/>
        <v>6.052</v>
      </c>
      <c r="G17" s="65">
        <f t="shared" si="1"/>
        <v>5.024</v>
      </c>
      <c r="H17" s="66" t="str">
        <f t="shared" si="2"/>
        <v/>
      </c>
      <c r="I17" s="65">
        <f t="shared" si="3"/>
        <v>1055.88888888889</v>
      </c>
      <c r="J17" s="65">
        <f t="shared" si="4"/>
        <v>837.333333333333</v>
      </c>
      <c r="K17" s="66" t="str">
        <f t="shared" si="5"/>
        <v/>
      </c>
      <c r="L17" s="67">
        <v>6.4</v>
      </c>
    </row>
    <row r="18" ht="23.1" customHeight="1" spans="1:12">
      <c r="A18" s="75"/>
      <c r="B18" s="75" t="s">
        <v>216</v>
      </c>
      <c r="C18" s="63">
        <v>105</v>
      </c>
      <c r="D18" s="72">
        <v>2700</v>
      </c>
      <c r="E18" s="63"/>
      <c r="F18" s="65">
        <f t="shared" si="0"/>
        <v>6.452</v>
      </c>
      <c r="G18" s="65">
        <f t="shared" si="1"/>
        <v>5.024</v>
      </c>
      <c r="H18" s="66" t="str">
        <f t="shared" si="2"/>
        <v/>
      </c>
      <c r="I18" s="65">
        <f t="shared" si="3"/>
        <v>1133.66666666667</v>
      </c>
      <c r="J18" s="65">
        <f t="shared" si="4"/>
        <v>837.333333333333</v>
      </c>
      <c r="K18" s="66" t="str">
        <f t="shared" si="5"/>
        <v/>
      </c>
      <c r="L18" s="67">
        <v>6.4</v>
      </c>
    </row>
    <row r="19" ht="23.1" customHeight="1" spans="1:12">
      <c r="A19" s="75"/>
      <c r="B19" s="75" t="s">
        <v>266</v>
      </c>
      <c r="C19" s="63">
        <v>80</v>
      </c>
      <c r="D19" s="72">
        <v>2700</v>
      </c>
      <c r="E19" s="63"/>
      <c r="F19" s="65">
        <f t="shared" si="0"/>
        <v>5.952</v>
      </c>
      <c r="G19" s="65">
        <f t="shared" si="1"/>
        <v>5.024</v>
      </c>
      <c r="H19" s="66" t="str">
        <f t="shared" si="2"/>
        <v/>
      </c>
      <c r="I19" s="65">
        <f t="shared" si="3"/>
        <v>1036.44444444444</v>
      </c>
      <c r="J19" s="65">
        <f t="shared" si="4"/>
        <v>837.333333333333</v>
      </c>
      <c r="K19" s="66" t="str">
        <f t="shared" si="5"/>
        <v/>
      </c>
      <c r="L19" s="67">
        <v>6.4</v>
      </c>
    </row>
    <row r="20" ht="23.1" customHeight="1" spans="1:12">
      <c r="A20" s="75"/>
      <c r="B20" s="75" t="s">
        <v>346</v>
      </c>
      <c r="C20" s="63">
        <v>80</v>
      </c>
      <c r="D20" s="72">
        <v>2700</v>
      </c>
      <c r="E20" s="63"/>
      <c r="F20" s="65">
        <f t="shared" si="0"/>
        <v>5.952</v>
      </c>
      <c r="G20" s="65">
        <f t="shared" si="1"/>
        <v>5.024</v>
      </c>
      <c r="H20" s="66" t="str">
        <f t="shared" si="2"/>
        <v/>
      </c>
      <c r="I20" s="65">
        <f t="shared" si="3"/>
        <v>1036.44444444444</v>
      </c>
      <c r="J20" s="65">
        <f t="shared" si="4"/>
        <v>837.333333333333</v>
      </c>
      <c r="K20" s="66" t="str">
        <f t="shared" si="5"/>
        <v/>
      </c>
      <c r="L20" s="67">
        <v>6.4</v>
      </c>
    </row>
    <row r="21" ht="23.1" customHeight="1" spans="1:12">
      <c r="A21" s="75"/>
      <c r="B21" s="75" t="s">
        <v>214</v>
      </c>
      <c r="C21" s="63">
        <v>85</v>
      </c>
      <c r="D21" s="72">
        <v>2700</v>
      </c>
      <c r="E21" s="63"/>
      <c r="F21" s="65">
        <f t="shared" si="0"/>
        <v>6.052</v>
      </c>
      <c r="G21" s="65">
        <f t="shared" si="1"/>
        <v>5.024</v>
      </c>
      <c r="H21" s="66" t="str">
        <f t="shared" si="2"/>
        <v/>
      </c>
      <c r="I21" s="65">
        <f t="shared" si="3"/>
        <v>1055.88888888889</v>
      </c>
      <c r="J21" s="65">
        <f t="shared" si="4"/>
        <v>837.333333333333</v>
      </c>
      <c r="K21" s="66" t="str">
        <f t="shared" si="5"/>
        <v/>
      </c>
      <c r="L21" s="67">
        <v>6.4</v>
      </c>
    </row>
    <row r="22" ht="23.1" customHeight="1" spans="1:12">
      <c r="A22" s="75"/>
      <c r="B22" s="75" t="s">
        <v>248</v>
      </c>
      <c r="C22" s="63">
        <v>85</v>
      </c>
      <c r="D22" s="72">
        <v>2700</v>
      </c>
      <c r="E22" s="63"/>
      <c r="F22" s="65">
        <f t="shared" si="0"/>
        <v>6.052</v>
      </c>
      <c r="G22" s="65">
        <f t="shared" si="1"/>
        <v>5.024</v>
      </c>
      <c r="H22" s="66" t="str">
        <f t="shared" si="2"/>
        <v/>
      </c>
      <c r="I22" s="65">
        <f t="shared" si="3"/>
        <v>1055.88888888889</v>
      </c>
      <c r="J22" s="65">
        <f t="shared" si="4"/>
        <v>837.333333333333</v>
      </c>
      <c r="K22" s="66" t="str">
        <f t="shared" si="5"/>
        <v/>
      </c>
      <c r="L22" s="67">
        <v>6.4</v>
      </c>
    </row>
    <row r="23" ht="23.1" customHeight="1" spans="1:12">
      <c r="A23" s="75"/>
      <c r="B23" s="75" t="s">
        <v>141</v>
      </c>
      <c r="C23" s="63">
        <v>115</v>
      </c>
      <c r="D23" s="72">
        <v>2700</v>
      </c>
      <c r="E23" s="63"/>
      <c r="F23" s="65">
        <f t="shared" si="0"/>
        <v>6.652</v>
      </c>
      <c r="G23" s="65">
        <f t="shared" si="1"/>
        <v>5.024</v>
      </c>
      <c r="H23" s="66" t="str">
        <f t="shared" si="2"/>
        <v/>
      </c>
      <c r="I23" s="65">
        <f t="shared" si="3"/>
        <v>1172.55555555556</v>
      </c>
      <c r="J23" s="65">
        <f t="shared" si="4"/>
        <v>837.333333333333</v>
      </c>
      <c r="K23" s="66" t="str">
        <f t="shared" si="5"/>
        <v/>
      </c>
      <c r="L23" s="67">
        <v>6.4</v>
      </c>
    </row>
    <row r="24" ht="23.1" customHeight="1" spans="1:12">
      <c r="A24" s="75"/>
      <c r="B24" s="75" t="s">
        <v>131</v>
      </c>
      <c r="C24" s="63">
        <v>85</v>
      </c>
      <c r="D24" s="72">
        <v>2700</v>
      </c>
      <c r="E24" s="63"/>
      <c r="F24" s="65">
        <f t="shared" si="0"/>
        <v>6.052</v>
      </c>
      <c r="G24" s="65">
        <f t="shared" si="1"/>
        <v>5.024</v>
      </c>
      <c r="H24" s="66" t="str">
        <f t="shared" si="2"/>
        <v/>
      </c>
      <c r="I24" s="65">
        <f t="shared" si="3"/>
        <v>1055.88888888889</v>
      </c>
      <c r="J24" s="65">
        <f t="shared" si="4"/>
        <v>837.333333333333</v>
      </c>
      <c r="K24" s="66" t="str">
        <f t="shared" si="5"/>
        <v/>
      </c>
      <c r="L24" s="67">
        <v>6.4</v>
      </c>
    </row>
    <row r="25" ht="23.1" customHeight="1" spans="1:12">
      <c r="A25" s="75"/>
      <c r="B25" s="75" t="s">
        <v>212</v>
      </c>
      <c r="C25" s="63">
        <v>85</v>
      </c>
      <c r="D25" s="72">
        <v>2700</v>
      </c>
      <c r="E25" s="63"/>
      <c r="F25" s="65">
        <f t="shared" si="0"/>
        <v>6.052</v>
      </c>
      <c r="G25" s="65">
        <f t="shared" si="1"/>
        <v>5.024</v>
      </c>
      <c r="H25" s="66" t="str">
        <f t="shared" si="2"/>
        <v/>
      </c>
      <c r="I25" s="65">
        <f t="shared" si="3"/>
        <v>1055.88888888889</v>
      </c>
      <c r="J25" s="65">
        <f t="shared" si="4"/>
        <v>837.333333333333</v>
      </c>
      <c r="K25" s="66" t="str">
        <f t="shared" si="5"/>
        <v/>
      </c>
      <c r="L25" s="67">
        <v>6.4</v>
      </c>
    </row>
    <row r="26" ht="23.1" customHeight="1" spans="1:12">
      <c r="A26" s="75"/>
      <c r="B26" s="75" t="s">
        <v>144</v>
      </c>
      <c r="C26" s="63">
        <v>75</v>
      </c>
      <c r="D26" s="72">
        <v>2700</v>
      </c>
      <c r="E26" s="63"/>
      <c r="F26" s="65">
        <f t="shared" si="0"/>
        <v>5.852</v>
      </c>
      <c r="G26" s="65">
        <f t="shared" si="1"/>
        <v>5.024</v>
      </c>
      <c r="H26" s="66" t="str">
        <f t="shared" si="2"/>
        <v/>
      </c>
      <c r="I26" s="65">
        <f t="shared" si="3"/>
        <v>1017</v>
      </c>
      <c r="J26" s="65">
        <f t="shared" si="4"/>
        <v>837.333333333333</v>
      </c>
      <c r="K26" s="66" t="str">
        <f t="shared" si="5"/>
        <v/>
      </c>
      <c r="L26" s="67">
        <v>6.4</v>
      </c>
    </row>
    <row r="27" ht="23.1" customHeight="1" spans="1:12">
      <c r="A27" s="75"/>
      <c r="B27" s="75" t="s">
        <v>291</v>
      </c>
      <c r="C27" s="63">
        <v>85</v>
      </c>
      <c r="D27" s="72">
        <v>2700</v>
      </c>
      <c r="E27" s="63"/>
      <c r="F27" s="65">
        <f t="shared" si="0"/>
        <v>6.052</v>
      </c>
      <c r="G27" s="65">
        <f t="shared" si="1"/>
        <v>5.024</v>
      </c>
      <c r="H27" s="66" t="str">
        <f t="shared" si="2"/>
        <v/>
      </c>
      <c r="I27" s="65">
        <f t="shared" si="3"/>
        <v>1055.88888888889</v>
      </c>
      <c r="J27" s="65">
        <f t="shared" si="4"/>
        <v>837.333333333333</v>
      </c>
      <c r="K27" s="66" t="str">
        <f t="shared" si="5"/>
        <v/>
      </c>
      <c r="L27" s="67"/>
    </row>
    <row r="28" ht="23.1" customHeight="1" spans="1:12">
      <c r="A28" s="75"/>
      <c r="B28" s="75" t="s">
        <v>347</v>
      </c>
      <c r="C28" s="63">
        <v>40</v>
      </c>
      <c r="D28" s="72">
        <v>2700</v>
      </c>
      <c r="E28" s="63"/>
      <c r="F28" s="65">
        <f t="shared" si="0"/>
        <v>5.152</v>
      </c>
      <c r="G28" s="65">
        <f t="shared" si="1"/>
        <v>5.024</v>
      </c>
      <c r="H28" s="66" t="str">
        <f t="shared" si="2"/>
        <v/>
      </c>
      <c r="I28" s="65">
        <f t="shared" si="3"/>
        <v>880.888888888889</v>
      </c>
      <c r="J28" s="65">
        <f t="shared" si="4"/>
        <v>837.333333333333</v>
      </c>
      <c r="K28" s="66" t="str">
        <f t="shared" si="5"/>
        <v/>
      </c>
      <c r="L28" s="67"/>
    </row>
    <row r="29" ht="23.1" customHeight="1" spans="1:12">
      <c r="A29" s="75"/>
      <c r="B29" s="75" t="s">
        <v>348</v>
      </c>
      <c r="C29" s="63"/>
      <c r="D29" s="72">
        <v>2700</v>
      </c>
      <c r="E29" s="63"/>
      <c r="F29" s="65">
        <f t="shared" si="0"/>
        <v>4.352</v>
      </c>
      <c r="G29" s="65">
        <f t="shared" si="1"/>
        <v>5.024</v>
      </c>
      <c r="H29" s="66" t="str">
        <f t="shared" si="2"/>
        <v/>
      </c>
      <c r="I29" s="65">
        <f t="shared" si="3"/>
        <v>725.333333333333</v>
      </c>
      <c r="J29" s="65">
        <f t="shared" si="4"/>
        <v>837.333333333333</v>
      </c>
      <c r="K29" s="66" t="str">
        <f t="shared" si="5"/>
        <v/>
      </c>
      <c r="L29" s="67"/>
    </row>
    <row r="30" ht="23.1" customHeight="1" spans="1:12">
      <c r="A30" s="75"/>
      <c r="B30" s="75" t="s">
        <v>349</v>
      </c>
      <c r="C30" s="63"/>
      <c r="D30" s="72">
        <v>2700</v>
      </c>
      <c r="E30" s="63"/>
      <c r="F30" s="65">
        <f t="shared" si="0"/>
        <v>4.352</v>
      </c>
      <c r="G30" s="65">
        <f t="shared" si="1"/>
        <v>5.024</v>
      </c>
      <c r="H30" s="66" t="str">
        <f t="shared" si="2"/>
        <v/>
      </c>
      <c r="I30" s="65">
        <f t="shared" si="3"/>
        <v>725.333333333333</v>
      </c>
      <c r="J30" s="65">
        <f t="shared" si="4"/>
        <v>837.333333333333</v>
      </c>
      <c r="K30" s="66" t="str">
        <f t="shared" si="5"/>
        <v/>
      </c>
      <c r="L30" s="67"/>
    </row>
    <row r="31" ht="23.1" customHeight="1" spans="1:12">
      <c r="A31" s="75" t="s">
        <v>350</v>
      </c>
      <c r="B31" s="75" t="s">
        <v>351</v>
      </c>
      <c r="C31" s="63">
        <v>95</v>
      </c>
      <c r="D31" s="72">
        <v>3200</v>
      </c>
      <c r="E31" s="63"/>
      <c r="F31" s="65">
        <f t="shared" si="0"/>
        <v>6.252</v>
      </c>
      <c r="G31" s="65">
        <f t="shared" si="1"/>
        <v>5.304</v>
      </c>
      <c r="H31" s="66" t="str">
        <f t="shared" si="2"/>
        <v/>
      </c>
      <c r="I31" s="65">
        <f t="shared" si="3"/>
        <v>1094.77777777778</v>
      </c>
      <c r="J31" s="65">
        <f t="shared" si="4"/>
        <v>884</v>
      </c>
      <c r="K31" s="66" t="str">
        <f t="shared" si="5"/>
        <v/>
      </c>
      <c r="L31" s="67">
        <v>6.7</v>
      </c>
    </row>
    <row r="32" ht="23.1" customHeight="1" spans="1:12">
      <c r="A32" s="75"/>
      <c r="B32" s="75" t="s">
        <v>132</v>
      </c>
      <c r="C32" s="63">
        <v>110</v>
      </c>
      <c r="D32" s="72">
        <v>3200</v>
      </c>
      <c r="E32" s="63"/>
      <c r="F32" s="65">
        <f t="shared" si="0"/>
        <v>6.552</v>
      </c>
      <c r="G32" s="65">
        <f t="shared" si="1"/>
        <v>5.304</v>
      </c>
      <c r="H32" s="66" t="str">
        <f t="shared" si="2"/>
        <v/>
      </c>
      <c r="I32" s="65">
        <f t="shared" si="3"/>
        <v>1153.11111111111</v>
      </c>
      <c r="J32" s="65">
        <f t="shared" si="4"/>
        <v>884</v>
      </c>
      <c r="K32" s="66" t="str">
        <f t="shared" si="5"/>
        <v/>
      </c>
      <c r="L32" s="67">
        <v>6.7</v>
      </c>
    </row>
    <row r="33" ht="23.1" customHeight="1" spans="1:12">
      <c r="A33" s="75"/>
      <c r="B33" s="75" t="s">
        <v>133</v>
      </c>
      <c r="C33" s="63">
        <v>90</v>
      </c>
      <c r="D33" s="72">
        <v>3200</v>
      </c>
      <c r="E33" s="63"/>
      <c r="F33" s="65">
        <f t="shared" si="0"/>
        <v>6.152</v>
      </c>
      <c r="G33" s="65">
        <f t="shared" si="1"/>
        <v>5.304</v>
      </c>
      <c r="H33" s="66" t="str">
        <f t="shared" si="2"/>
        <v/>
      </c>
      <c r="I33" s="65">
        <f t="shared" si="3"/>
        <v>1075.33333333333</v>
      </c>
      <c r="J33" s="65">
        <f t="shared" si="4"/>
        <v>884</v>
      </c>
      <c r="K33" s="66" t="str">
        <f t="shared" si="5"/>
        <v/>
      </c>
      <c r="L33" s="67">
        <v>6.7</v>
      </c>
    </row>
    <row r="34" ht="23.1" customHeight="1" spans="1:12">
      <c r="A34" s="75"/>
      <c r="B34" s="75" t="s">
        <v>134</v>
      </c>
      <c r="C34" s="63">
        <v>90</v>
      </c>
      <c r="D34" s="72">
        <v>3200</v>
      </c>
      <c r="E34" s="63"/>
      <c r="F34" s="65">
        <f t="shared" si="0"/>
        <v>6.152</v>
      </c>
      <c r="G34" s="65">
        <f t="shared" si="1"/>
        <v>5.304</v>
      </c>
      <c r="H34" s="66" t="str">
        <f t="shared" si="2"/>
        <v/>
      </c>
      <c r="I34" s="65">
        <f t="shared" si="3"/>
        <v>1075.33333333333</v>
      </c>
      <c r="J34" s="65">
        <f t="shared" si="4"/>
        <v>884</v>
      </c>
      <c r="K34" s="66" t="str">
        <f t="shared" si="5"/>
        <v/>
      </c>
      <c r="L34" s="67">
        <v>6.7</v>
      </c>
    </row>
    <row r="35" ht="23.1" customHeight="1" spans="1:12">
      <c r="A35" s="75"/>
      <c r="B35" s="75" t="s">
        <v>231</v>
      </c>
      <c r="C35" s="63">
        <v>105</v>
      </c>
      <c r="D35" s="72">
        <v>3200</v>
      </c>
      <c r="E35" s="63"/>
      <c r="F35" s="65">
        <f t="shared" si="0"/>
        <v>6.452</v>
      </c>
      <c r="G35" s="65">
        <f t="shared" si="1"/>
        <v>5.304</v>
      </c>
      <c r="H35" s="66" t="str">
        <f t="shared" si="2"/>
        <v/>
      </c>
      <c r="I35" s="65">
        <f t="shared" si="3"/>
        <v>1133.66666666667</v>
      </c>
      <c r="J35" s="65">
        <f t="shared" si="4"/>
        <v>884</v>
      </c>
      <c r="K35" s="66" t="str">
        <f t="shared" si="5"/>
        <v/>
      </c>
      <c r="L35" s="67">
        <v>6.7</v>
      </c>
    </row>
    <row r="36" ht="23.1" customHeight="1" spans="1:12">
      <c r="A36" s="75"/>
      <c r="B36" s="75" t="s">
        <v>181</v>
      </c>
      <c r="C36" s="63">
        <v>160</v>
      </c>
      <c r="D36" s="72">
        <v>3200</v>
      </c>
      <c r="E36" s="63"/>
      <c r="F36" s="65">
        <f t="shared" si="0"/>
        <v>7.552</v>
      </c>
      <c r="G36" s="65">
        <f t="shared" si="1"/>
        <v>5.304</v>
      </c>
      <c r="H36" s="66" t="str">
        <f t="shared" si="2"/>
        <v/>
      </c>
      <c r="I36" s="65">
        <f t="shared" si="3"/>
        <v>1347.55555555556</v>
      </c>
      <c r="J36" s="65">
        <f t="shared" si="4"/>
        <v>884</v>
      </c>
      <c r="K36" s="66" t="str">
        <f t="shared" si="5"/>
        <v/>
      </c>
      <c r="L36" s="67">
        <v>6.7</v>
      </c>
    </row>
    <row r="37" ht="23.1" customHeight="1" spans="1:12">
      <c r="A37" s="75"/>
      <c r="B37" s="75" t="s">
        <v>180</v>
      </c>
      <c r="C37" s="63">
        <v>110</v>
      </c>
      <c r="D37" s="72">
        <v>3200</v>
      </c>
      <c r="E37" s="63"/>
      <c r="F37" s="65">
        <f t="shared" si="0"/>
        <v>6.552</v>
      </c>
      <c r="G37" s="65">
        <f t="shared" si="1"/>
        <v>5.304</v>
      </c>
      <c r="H37" s="66" t="str">
        <f t="shared" si="2"/>
        <v/>
      </c>
      <c r="I37" s="65">
        <f t="shared" si="3"/>
        <v>1153.11111111111</v>
      </c>
      <c r="J37" s="65">
        <f t="shared" si="4"/>
        <v>884</v>
      </c>
      <c r="K37" s="66" t="str">
        <f t="shared" si="5"/>
        <v/>
      </c>
      <c r="L37" s="67">
        <v>6.7</v>
      </c>
    </row>
    <row r="38" ht="23.1" customHeight="1" spans="1:12">
      <c r="A38" s="75"/>
      <c r="B38" s="75" t="s">
        <v>143</v>
      </c>
      <c r="C38" s="63">
        <v>110</v>
      </c>
      <c r="D38" s="72">
        <v>3200</v>
      </c>
      <c r="E38" s="63"/>
      <c r="F38" s="65">
        <f t="shared" si="0"/>
        <v>6.552</v>
      </c>
      <c r="G38" s="65">
        <f t="shared" si="1"/>
        <v>5.304</v>
      </c>
      <c r="H38" s="66" t="str">
        <f t="shared" si="2"/>
        <v/>
      </c>
      <c r="I38" s="65">
        <f t="shared" si="3"/>
        <v>1153.11111111111</v>
      </c>
      <c r="J38" s="65">
        <f t="shared" si="4"/>
        <v>884</v>
      </c>
      <c r="K38" s="66" t="str">
        <f t="shared" si="5"/>
        <v/>
      </c>
      <c r="L38" s="67">
        <v>6.7</v>
      </c>
    </row>
    <row r="39" ht="23.1" customHeight="1" spans="1:12">
      <c r="A39" s="75"/>
      <c r="B39" s="75" t="s">
        <v>352</v>
      </c>
      <c r="C39" s="63">
        <v>100</v>
      </c>
      <c r="D39" s="72">
        <v>3200</v>
      </c>
      <c r="E39" s="63"/>
      <c r="F39" s="65">
        <f t="shared" si="0"/>
        <v>6.352</v>
      </c>
      <c r="G39" s="65">
        <f t="shared" si="1"/>
        <v>5.304</v>
      </c>
      <c r="H39" s="66" t="str">
        <f t="shared" si="2"/>
        <v/>
      </c>
      <c r="I39" s="65">
        <f t="shared" si="3"/>
        <v>1114.22222222222</v>
      </c>
      <c r="J39" s="65">
        <f t="shared" si="4"/>
        <v>884</v>
      </c>
      <c r="K39" s="66" t="str">
        <f t="shared" si="5"/>
        <v/>
      </c>
      <c r="L39" s="67">
        <v>6.7</v>
      </c>
    </row>
    <row r="40" ht="23.1" customHeight="1" spans="1:12">
      <c r="A40" s="75" t="s">
        <v>353</v>
      </c>
      <c r="B40" s="75" t="s">
        <v>205</v>
      </c>
      <c r="C40" s="63">
        <v>130</v>
      </c>
      <c r="D40" s="72">
        <v>3700</v>
      </c>
      <c r="E40" s="63"/>
      <c r="F40" s="65">
        <f t="shared" si="0"/>
        <v>6.952</v>
      </c>
      <c r="G40" s="65">
        <f t="shared" si="1"/>
        <v>5.584</v>
      </c>
      <c r="H40" s="66" t="str">
        <f t="shared" si="2"/>
        <v/>
      </c>
      <c r="I40" s="65">
        <f t="shared" si="3"/>
        <v>1230.88888888889</v>
      </c>
      <c r="J40" s="65">
        <f t="shared" si="4"/>
        <v>930.666666666667</v>
      </c>
      <c r="K40" s="66" t="str">
        <f t="shared" si="5"/>
        <v/>
      </c>
      <c r="L40" s="67">
        <v>7</v>
      </c>
    </row>
    <row r="41" ht="23.1" customHeight="1" spans="1:12">
      <c r="A41" s="75"/>
      <c r="B41" s="75" t="s">
        <v>126</v>
      </c>
      <c r="C41" s="63">
        <v>125</v>
      </c>
      <c r="D41" s="72">
        <v>3700</v>
      </c>
      <c r="E41" s="63"/>
      <c r="F41" s="65">
        <f t="shared" si="0"/>
        <v>6.852</v>
      </c>
      <c r="G41" s="65">
        <f t="shared" si="1"/>
        <v>5.584</v>
      </c>
      <c r="H41" s="66" t="str">
        <f t="shared" si="2"/>
        <v/>
      </c>
      <c r="I41" s="65">
        <f t="shared" si="3"/>
        <v>1211.44444444444</v>
      </c>
      <c r="J41" s="65">
        <f t="shared" si="4"/>
        <v>930.666666666667</v>
      </c>
      <c r="K41" s="66" t="str">
        <f t="shared" si="5"/>
        <v/>
      </c>
      <c r="L41" s="67">
        <v>7</v>
      </c>
    </row>
    <row r="42" ht="23.1" customHeight="1" spans="1:12">
      <c r="A42" s="75"/>
      <c r="B42" s="75" t="s">
        <v>207</v>
      </c>
      <c r="C42" s="63">
        <v>110</v>
      </c>
      <c r="D42" s="72">
        <v>3700</v>
      </c>
      <c r="E42" s="63"/>
      <c r="F42" s="65">
        <f t="shared" si="0"/>
        <v>6.552</v>
      </c>
      <c r="G42" s="65">
        <f t="shared" si="1"/>
        <v>5.584</v>
      </c>
      <c r="H42" s="66" t="str">
        <f t="shared" si="2"/>
        <v/>
      </c>
      <c r="I42" s="65">
        <f t="shared" si="3"/>
        <v>1153.11111111111</v>
      </c>
      <c r="J42" s="65">
        <f t="shared" si="4"/>
        <v>930.666666666667</v>
      </c>
      <c r="K42" s="66" t="str">
        <f t="shared" si="5"/>
        <v/>
      </c>
      <c r="L42" s="67">
        <v>7</v>
      </c>
    </row>
    <row r="43" ht="23.1" customHeight="1" spans="1:12">
      <c r="A43" s="75"/>
      <c r="B43" s="75" t="s">
        <v>211</v>
      </c>
      <c r="C43" s="63">
        <v>135</v>
      </c>
      <c r="D43" s="72">
        <v>3700</v>
      </c>
      <c r="E43" s="63"/>
      <c r="F43" s="65">
        <f t="shared" si="0"/>
        <v>7.052</v>
      </c>
      <c r="G43" s="65">
        <f t="shared" si="1"/>
        <v>5.584</v>
      </c>
      <c r="H43" s="66" t="str">
        <f t="shared" si="2"/>
        <v/>
      </c>
      <c r="I43" s="65">
        <f t="shared" si="3"/>
        <v>1250.33333333333</v>
      </c>
      <c r="J43" s="65">
        <f t="shared" si="4"/>
        <v>930.666666666667</v>
      </c>
      <c r="K43" s="66" t="str">
        <f t="shared" si="5"/>
        <v/>
      </c>
      <c r="L43" s="67">
        <v>7</v>
      </c>
    </row>
    <row r="44" ht="23.1" customHeight="1" spans="1:12">
      <c r="A44" s="75"/>
      <c r="B44" s="75" t="s">
        <v>254</v>
      </c>
      <c r="C44" s="63">
        <v>135</v>
      </c>
      <c r="D44" s="72">
        <v>3700</v>
      </c>
      <c r="E44" s="63"/>
      <c r="F44" s="65">
        <f t="shared" si="0"/>
        <v>7.052</v>
      </c>
      <c r="G44" s="65">
        <f t="shared" si="1"/>
        <v>5.584</v>
      </c>
      <c r="H44" s="66" t="str">
        <f t="shared" si="2"/>
        <v/>
      </c>
      <c r="I44" s="65">
        <f t="shared" si="3"/>
        <v>1250.33333333333</v>
      </c>
      <c r="J44" s="65">
        <f t="shared" si="4"/>
        <v>930.666666666667</v>
      </c>
      <c r="K44" s="66" t="str">
        <f t="shared" si="5"/>
        <v/>
      </c>
      <c r="L44" s="67">
        <v>7</v>
      </c>
    </row>
    <row r="45" ht="23.1" customHeight="1" spans="1:12">
      <c r="A45" s="75"/>
      <c r="B45" s="76" t="s">
        <v>107</v>
      </c>
      <c r="C45" s="63"/>
      <c r="D45" s="72">
        <v>3700</v>
      </c>
      <c r="E45" s="63"/>
      <c r="F45" s="65">
        <f t="shared" si="0"/>
        <v>4.352</v>
      </c>
      <c r="G45" s="65">
        <f t="shared" si="1"/>
        <v>5.584</v>
      </c>
      <c r="H45" s="66" t="str">
        <f t="shared" si="2"/>
        <v/>
      </c>
      <c r="I45" s="65">
        <f t="shared" si="3"/>
        <v>725.333333333333</v>
      </c>
      <c r="J45" s="65">
        <f t="shared" si="4"/>
        <v>930.666666666667</v>
      </c>
      <c r="K45" s="66" t="str">
        <f t="shared" si="5"/>
        <v/>
      </c>
      <c r="L45" s="67">
        <v>7</v>
      </c>
    </row>
    <row r="46" ht="23.1" customHeight="1" spans="1:12">
      <c r="A46" s="77" t="s">
        <v>169</v>
      </c>
      <c r="B46" s="62" t="s">
        <v>354</v>
      </c>
      <c r="C46" s="63">
        <v>125</v>
      </c>
      <c r="D46" s="72"/>
      <c r="E46" s="63"/>
      <c r="F46" s="65">
        <f t="shared" si="0"/>
        <v>6.852</v>
      </c>
      <c r="G46" s="65" t="str">
        <f t="shared" si="1"/>
        <v/>
      </c>
      <c r="H46" s="66" t="str">
        <f t="shared" si="2"/>
        <v/>
      </c>
      <c r="I46" s="65">
        <f t="shared" si="3"/>
        <v>1211.44444444444</v>
      </c>
      <c r="J46" s="65" t="str">
        <f t="shared" si="4"/>
        <v/>
      </c>
      <c r="K46" s="66" t="str">
        <f t="shared" si="5"/>
        <v/>
      </c>
      <c r="L46" s="67"/>
    </row>
    <row r="47" ht="23.1" customHeight="1" spans="1:12">
      <c r="A47" s="77"/>
      <c r="B47" s="62" t="s">
        <v>355</v>
      </c>
      <c r="C47" s="75"/>
      <c r="D47" s="72"/>
      <c r="E47" s="63"/>
      <c r="F47" s="65">
        <f t="shared" si="0"/>
        <v>4.352</v>
      </c>
      <c r="G47" s="65" t="str">
        <f t="shared" si="1"/>
        <v/>
      </c>
      <c r="H47" s="66" t="str">
        <f t="shared" si="2"/>
        <v/>
      </c>
      <c r="I47" s="65">
        <f t="shared" si="3"/>
        <v>725.333333333333</v>
      </c>
      <c r="J47" s="65" t="str">
        <f t="shared" si="4"/>
        <v/>
      </c>
      <c r="K47" s="66" t="str">
        <f t="shared" si="5"/>
        <v/>
      </c>
      <c r="L47" s="67"/>
    </row>
    <row r="48" ht="23.1" customHeight="1" spans="1:12">
      <c r="A48" s="77"/>
      <c r="B48" s="62" t="s">
        <v>356</v>
      </c>
      <c r="C48" s="75"/>
      <c r="D48" s="72"/>
      <c r="E48" s="63"/>
      <c r="F48" s="65">
        <f t="shared" si="0"/>
        <v>4.352</v>
      </c>
      <c r="G48" s="65" t="str">
        <f t="shared" si="1"/>
        <v/>
      </c>
      <c r="H48" s="66" t="str">
        <f t="shared" si="2"/>
        <v/>
      </c>
      <c r="I48" s="65">
        <f t="shared" si="3"/>
        <v>725.333333333333</v>
      </c>
      <c r="J48" s="65" t="str">
        <f t="shared" si="4"/>
        <v/>
      </c>
      <c r="K48" s="66" t="str">
        <f t="shared" si="5"/>
        <v/>
      </c>
      <c r="L48" s="67"/>
    </row>
    <row r="49" ht="23.1" customHeight="1" spans="1:12">
      <c r="A49" s="77"/>
      <c r="B49" s="62" t="s">
        <v>357</v>
      </c>
      <c r="C49" s="63"/>
      <c r="D49" s="72"/>
      <c r="E49" s="63"/>
      <c r="F49" s="65">
        <f t="shared" si="0"/>
        <v>4.352</v>
      </c>
      <c r="G49" s="65" t="str">
        <f t="shared" si="1"/>
        <v/>
      </c>
      <c r="H49" s="66" t="str">
        <f t="shared" si="2"/>
        <v/>
      </c>
      <c r="I49" s="65">
        <f t="shared" si="3"/>
        <v>725.333333333333</v>
      </c>
      <c r="J49" s="65" t="str">
        <f t="shared" si="4"/>
        <v/>
      </c>
      <c r="K49" s="66" t="str">
        <f t="shared" si="5"/>
        <v/>
      </c>
      <c r="L49" s="67"/>
    </row>
    <row r="50" ht="23.1" customHeight="1" spans="1:12">
      <c r="A50" s="77"/>
      <c r="B50" s="62"/>
      <c r="C50" s="63"/>
      <c r="D50" s="72"/>
      <c r="E50" s="63"/>
      <c r="F50" s="65"/>
      <c r="G50" s="65"/>
      <c r="H50" s="66"/>
      <c r="I50" s="65"/>
      <c r="J50" s="65"/>
      <c r="K50" s="66"/>
      <c r="L50" s="67"/>
    </row>
  </sheetData>
  <mergeCells count="13">
    <mergeCell ref="B1:E1"/>
    <mergeCell ref="C7:E7"/>
    <mergeCell ref="B10:F10"/>
    <mergeCell ref="B11:F11"/>
    <mergeCell ref="B12:D12"/>
    <mergeCell ref="A1:A9"/>
    <mergeCell ref="A14:A30"/>
    <mergeCell ref="A31:A39"/>
    <mergeCell ref="A40:A45"/>
    <mergeCell ref="B2:B6"/>
    <mergeCell ref="B7:B9"/>
    <mergeCell ref="C8:E9"/>
    <mergeCell ref="C2:E6"/>
  </mergeCells>
  <conditionalFormatting sqref="B14">
    <cfRule type="duplicateValues" dxfId="0" priority="16" stopIfTrue="1"/>
  </conditionalFormatting>
  <conditionalFormatting sqref="B15">
    <cfRule type="duplicateValues" dxfId="0" priority="15" stopIfTrue="1"/>
  </conditionalFormatting>
  <conditionalFormatting sqref="B16">
    <cfRule type="duplicateValues" dxfId="0" priority="14" stopIfTrue="1"/>
  </conditionalFormatting>
  <conditionalFormatting sqref="B23">
    <cfRule type="duplicateValues" dxfId="0" priority="12" stopIfTrue="1"/>
  </conditionalFormatting>
  <conditionalFormatting sqref="B24">
    <cfRule type="duplicateValues" dxfId="0" priority="11" stopIfTrue="1"/>
  </conditionalFormatting>
  <conditionalFormatting sqref="B25">
    <cfRule type="duplicateValues" dxfId="0" priority="10" stopIfTrue="1"/>
  </conditionalFormatting>
  <conditionalFormatting sqref="B26">
    <cfRule type="duplicateValues" dxfId="0" priority="9" stopIfTrue="1"/>
  </conditionalFormatting>
  <conditionalFormatting sqref="B27">
    <cfRule type="duplicateValues" dxfId="0" priority="8" stopIfTrue="1"/>
  </conditionalFormatting>
  <conditionalFormatting sqref="B30">
    <cfRule type="duplicateValues" dxfId="0" priority="6" stopIfTrue="1"/>
  </conditionalFormatting>
  <conditionalFormatting sqref="B39">
    <cfRule type="duplicateValues" dxfId="0" priority="4" stopIfTrue="1"/>
  </conditionalFormatting>
  <conditionalFormatting sqref="B40">
    <cfRule type="duplicateValues" dxfId="0" priority="3" stopIfTrue="1"/>
  </conditionalFormatting>
  <conditionalFormatting sqref="B17:B22">
    <cfRule type="duplicateValues" dxfId="0" priority="13" stopIfTrue="1"/>
  </conditionalFormatting>
  <conditionalFormatting sqref="B28:B29">
    <cfRule type="duplicateValues" dxfId="0" priority="7" stopIfTrue="1"/>
  </conditionalFormatting>
  <conditionalFormatting sqref="B31:B38">
    <cfRule type="duplicateValues" dxfId="0" priority="5" stopIfTrue="1"/>
  </conditionalFormatting>
  <conditionalFormatting sqref="B41:B48">
    <cfRule type="duplicateValues" dxfId="0" priority="2" stopIfTrue="1"/>
  </conditionalFormatting>
  <pageMargins left="0.7" right="0.7" top="0.75" bottom="0.75" header="0.3" footer="0.3"/>
  <headerFooter/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305"/>
  <sheetViews>
    <sheetView workbookViewId="0">
      <pane ySplit="13" topLeftCell="A14" activePane="bottomLeft" state="frozen"/>
      <selection/>
      <selection pane="bottomLeft" activeCell="A1" sqref="A1:A9"/>
    </sheetView>
  </sheetViews>
  <sheetFormatPr defaultColWidth="14" defaultRowHeight="12.75"/>
  <cols>
    <col min="1" max="1" width="22" customWidth="1"/>
    <col min="2" max="2" width="27" customWidth="1"/>
    <col min="3" max="11" width="14" customWidth="1"/>
    <col min="12" max="12" width="18" customWidth="1"/>
    <col min="13" max="13" width="14" customWidth="1"/>
    <col min="14" max="14" width="19" customWidth="1"/>
    <col min="15" max="19" width="14" customWidth="1"/>
  </cols>
  <sheetData>
    <row r="1" ht="12" customHeight="1" spans="1:19">
      <c r="A1" s="18" t="s">
        <v>0</v>
      </c>
      <c r="B1" s="19" t="s">
        <v>358</v>
      </c>
      <c r="C1" s="20"/>
      <c r="D1" s="20"/>
      <c r="E1" s="21"/>
      <c r="F1" s="22" t="s">
        <v>2</v>
      </c>
      <c r="G1" s="22" t="s">
        <v>3</v>
      </c>
      <c r="H1" s="23" t="s">
        <v>4</v>
      </c>
      <c r="I1" s="22" t="s">
        <v>5</v>
      </c>
      <c r="J1" s="24" t="s">
        <v>6</v>
      </c>
      <c r="K1" s="23" t="s">
        <v>7</v>
      </c>
      <c r="L1" s="25"/>
      <c r="M1" s="26"/>
      <c r="N1" s="26"/>
      <c r="O1" s="26"/>
      <c r="P1" s="26"/>
      <c r="Q1" s="26"/>
      <c r="R1" s="26"/>
      <c r="S1" s="26"/>
    </row>
    <row r="2" ht="12" customHeight="1" spans="1:19">
      <c r="A2" s="18"/>
      <c r="B2" s="24" t="s">
        <v>14</v>
      </c>
      <c r="C2" s="27" t="s">
        <v>15</v>
      </c>
      <c r="D2" s="28"/>
      <c r="E2" s="29"/>
      <c r="F2" s="22" t="s">
        <v>16</v>
      </c>
      <c r="G2" s="22" t="s">
        <v>17</v>
      </c>
      <c r="H2" s="30">
        <v>500</v>
      </c>
      <c r="I2" s="22">
        <v>1</v>
      </c>
      <c r="J2" s="24"/>
      <c r="K2" s="23"/>
      <c r="L2" s="25"/>
      <c r="M2" s="26"/>
      <c r="N2" s="26"/>
      <c r="O2" s="26"/>
      <c r="P2" s="26"/>
      <c r="Q2" s="26"/>
      <c r="R2" s="26"/>
      <c r="S2" s="26"/>
    </row>
    <row r="3" ht="12" customHeight="1" spans="1:19">
      <c r="A3" s="18"/>
      <c r="B3" s="24"/>
      <c r="C3" s="31"/>
      <c r="D3" s="32"/>
      <c r="E3" s="33"/>
      <c r="F3" s="22" t="s">
        <v>18</v>
      </c>
      <c r="G3" s="22" t="s">
        <v>17</v>
      </c>
      <c r="H3" s="34">
        <v>1950</v>
      </c>
      <c r="I3" s="22">
        <v>1</v>
      </c>
      <c r="J3" s="24"/>
      <c r="K3" s="23"/>
      <c r="L3" s="25"/>
      <c r="M3" s="26"/>
      <c r="N3" s="26"/>
      <c r="O3" s="26"/>
      <c r="P3" s="26"/>
      <c r="Q3" s="26"/>
      <c r="R3" s="26"/>
      <c r="S3" s="26"/>
    </row>
    <row r="4" ht="12" customHeight="1" spans="1:19">
      <c r="A4" s="18"/>
      <c r="B4" s="24"/>
      <c r="C4" s="31"/>
      <c r="D4" s="32"/>
      <c r="E4" s="33"/>
      <c r="F4" s="35" t="s">
        <v>19</v>
      </c>
      <c r="G4" s="22" t="s">
        <v>17</v>
      </c>
      <c r="H4" s="30">
        <v>500</v>
      </c>
      <c r="I4" s="22">
        <v>0</v>
      </c>
      <c r="J4" s="24" t="s">
        <v>259</v>
      </c>
      <c r="K4" s="23" t="s">
        <v>260</v>
      </c>
      <c r="L4" s="25"/>
      <c r="M4" s="26"/>
      <c r="N4" s="26"/>
      <c r="O4" s="26"/>
      <c r="P4" s="26"/>
      <c r="Q4" s="26"/>
      <c r="R4" s="26"/>
      <c r="S4" s="26"/>
    </row>
    <row r="5" ht="12" customHeight="1" spans="1:19">
      <c r="A5" s="18"/>
      <c r="B5" s="24"/>
      <c r="C5" s="31"/>
      <c r="D5" s="32"/>
      <c r="E5" s="33"/>
      <c r="F5" s="22" t="s">
        <v>20</v>
      </c>
      <c r="G5" s="22" t="s">
        <v>17</v>
      </c>
      <c r="H5" s="30">
        <v>3500</v>
      </c>
      <c r="I5" s="22">
        <v>1</v>
      </c>
      <c r="J5" s="24"/>
      <c r="K5" s="23"/>
      <c r="L5" s="25"/>
      <c r="M5" s="26"/>
      <c r="N5" s="26"/>
      <c r="O5" s="26"/>
      <c r="P5" s="26"/>
      <c r="Q5" s="26"/>
      <c r="R5" s="26"/>
      <c r="S5" s="26"/>
    </row>
    <row r="6" ht="20.1" customHeight="1" spans="1:19">
      <c r="A6" s="18"/>
      <c r="B6" s="24"/>
      <c r="C6" s="36"/>
      <c r="D6" s="37"/>
      <c r="E6" s="38"/>
      <c r="F6" s="22" t="s">
        <v>21</v>
      </c>
      <c r="G6" s="22" t="s">
        <v>22</v>
      </c>
      <c r="H6" s="39">
        <v>3850</v>
      </c>
      <c r="I6" s="22">
        <v>1</v>
      </c>
      <c r="J6" s="24"/>
      <c r="K6" s="23"/>
      <c r="L6" s="25"/>
      <c r="M6" s="26"/>
      <c r="N6" s="26"/>
      <c r="O6" s="26"/>
      <c r="P6" s="26"/>
      <c r="Q6" s="26"/>
      <c r="R6" s="26"/>
      <c r="S6" s="26"/>
    </row>
    <row r="7" ht="12" customHeight="1" spans="1:19">
      <c r="A7" s="18"/>
      <c r="B7" s="24" t="s">
        <v>23</v>
      </c>
      <c r="C7" s="19" t="s">
        <v>24</v>
      </c>
      <c r="D7" s="20"/>
      <c r="E7" s="21"/>
      <c r="F7" s="22" t="s">
        <v>25</v>
      </c>
      <c r="G7" s="22" t="s">
        <v>22</v>
      </c>
      <c r="H7" s="40">
        <v>1500</v>
      </c>
      <c r="I7" s="35">
        <v>1</v>
      </c>
      <c r="J7" s="24"/>
      <c r="K7" s="23"/>
      <c r="L7" s="25"/>
      <c r="M7" s="26"/>
      <c r="N7" s="26"/>
      <c r="O7" s="26"/>
      <c r="P7" s="26"/>
      <c r="Q7" s="26"/>
      <c r="R7" s="26"/>
      <c r="S7" s="26"/>
    </row>
    <row r="8" ht="12" customHeight="1" spans="1:19">
      <c r="A8" s="18"/>
      <c r="B8" s="24"/>
      <c r="C8" s="27" t="s">
        <v>26</v>
      </c>
      <c r="D8" s="28"/>
      <c r="E8" s="29"/>
      <c r="F8" s="22" t="s">
        <v>27</v>
      </c>
      <c r="G8" s="22" t="s">
        <v>22</v>
      </c>
      <c r="H8" s="41"/>
      <c r="I8" s="22">
        <v>1</v>
      </c>
      <c r="J8" s="24"/>
      <c r="K8" s="23"/>
      <c r="L8" s="25"/>
      <c r="M8" s="26"/>
      <c r="N8" s="26"/>
      <c r="O8" s="26"/>
      <c r="P8" s="26"/>
      <c r="Q8" s="26"/>
      <c r="R8" s="26"/>
      <c r="S8" s="26"/>
    </row>
    <row r="9" ht="12" customHeight="1" spans="1:19">
      <c r="A9" s="18"/>
      <c r="B9" s="24"/>
      <c r="C9" s="36"/>
      <c r="D9" s="37"/>
      <c r="E9" s="38"/>
      <c r="F9" s="22" t="s">
        <v>28</v>
      </c>
      <c r="G9" s="22" t="s">
        <v>22</v>
      </c>
      <c r="H9" s="39">
        <v>1300</v>
      </c>
      <c r="I9" s="22">
        <v>1</v>
      </c>
      <c r="J9" s="24"/>
      <c r="K9" s="23"/>
      <c r="L9" s="25" t="s">
        <v>29</v>
      </c>
      <c r="M9" s="26"/>
      <c r="N9" s="26"/>
      <c r="O9" s="26"/>
      <c r="P9" s="26"/>
      <c r="Q9" s="26"/>
      <c r="R9" s="26"/>
      <c r="S9" s="26"/>
    </row>
    <row r="10" ht="12" customHeight="1" spans="1:19">
      <c r="A10" s="42" t="s">
        <v>358</v>
      </c>
      <c r="B10" s="43" t="s">
        <v>31</v>
      </c>
      <c r="C10" s="43"/>
      <c r="D10" s="43"/>
      <c r="E10" s="43"/>
      <c r="F10" s="44"/>
      <c r="G10" s="22" t="s">
        <v>17</v>
      </c>
      <c r="H10" s="30">
        <f>SUM(H2:H5)</f>
        <v>6450</v>
      </c>
      <c r="I10" s="24" t="s">
        <v>32</v>
      </c>
      <c r="J10" s="24">
        <v>7</v>
      </c>
      <c r="K10" s="41">
        <f>H10/J10</f>
        <v>921.428571428571</v>
      </c>
      <c r="L10" s="45">
        <v>350</v>
      </c>
      <c r="M10" s="26"/>
      <c r="N10" s="26"/>
      <c r="O10" s="26"/>
      <c r="P10" s="26"/>
      <c r="Q10" s="26"/>
      <c r="R10" s="26"/>
      <c r="S10" s="26"/>
    </row>
    <row r="11" ht="12" customHeight="1" spans="1:19">
      <c r="A11" s="46" t="s">
        <v>33</v>
      </c>
      <c r="B11" s="19" t="s">
        <v>262</v>
      </c>
      <c r="C11" s="20"/>
      <c r="D11" s="20"/>
      <c r="E11" s="20"/>
      <c r="F11" s="21"/>
      <c r="G11" s="22" t="s">
        <v>22</v>
      </c>
      <c r="H11" s="47">
        <f>SUM(H6:H9)</f>
        <v>6650</v>
      </c>
      <c r="I11" s="24" t="s">
        <v>35</v>
      </c>
      <c r="J11" s="47">
        <f>H11+K10</f>
        <v>7571.42857142857</v>
      </c>
      <c r="K11" s="48">
        <f>J11*J10</f>
        <v>53000</v>
      </c>
      <c r="L11" s="25" t="s">
        <v>36</v>
      </c>
      <c r="M11" s="26"/>
      <c r="N11" s="26"/>
      <c r="O11" s="26"/>
      <c r="P11" s="26"/>
      <c r="Q11" s="26"/>
      <c r="R11" s="26"/>
      <c r="S11" s="26"/>
    </row>
    <row r="12" ht="12" customHeight="1" spans="1:19">
      <c r="A12" s="24" t="s">
        <v>37</v>
      </c>
      <c r="B12" s="49">
        <v>75</v>
      </c>
      <c r="C12" s="50"/>
      <c r="D12" s="51"/>
      <c r="E12" s="24" t="s">
        <v>38</v>
      </c>
      <c r="F12" s="52">
        <f>K11/B12</f>
        <v>706.666666666667</v>
      </c>
      <c r="G12" s="22" t="s">
        <v>39</v>
      </c>
      <c r="H12" s="53">
        <v>12525</v>
      </c>
      <c r="I12" s="24" t="s">
        <v>40</v>
      </c>
      <c r="J12" s="54">
        <f>K11/H12</f>
        <v>4.2315369261477</v>
      </c>
      <c r="K12" s="30"/>
      <c r="L12" s="55">
        <v>1.8</v>
      </c>
      <c r="M12" s="26"/>
      <c r="N12" s="26"/>
      <c r="O12" s="26"/>
      <c r="P12" s="26"/>
      <c r="Q12" s="26"/>
      <c r="R12" s="26"/>
      <c r="S12" s="26"/>
    </row>
    <row r="13" ht="15.95" customHeight="1" spans="1:19">
      <c r="A13" s="56"/>
      <c r="B13" s="57" t="s">
        <v>41</v>
      </c>
      <c r="C13" s="58" t="s">
        <v>42</v>
      </c>
      <c r="D13" s="58" t="s">
        <v>43</v>
      </c>
      <c r="E13" s="58" t="s">
        <v>44</v>
      </c>
      <c r="F13" s="57" t="s">
        <v>45</v>
      </c>
      <c r="G13" s="57" t="s">
        <v>46</v>
      </c>
      <c r="H13" s="57" t="s">
        <v>47</v>
      </c>
      <c r="I13" s="59" t="s">
        <v>48</v>
      </c>
      <c r="J13" s="60" t="s">
        <v>49</v>
      </c>
      <c r="K13" s="60" t="s">
        <v>50</v>
      </c>
      <c r="L13" s="13" t="s">
        <v>51</v>
      </c>
    </row>
    <row r="14" ht="23.1" customHeight="1" spans="1:19">
      <c r="A14" s="61" t="s">
        <v>359</v>
      </c>
      <c r="B14" s="62" t="s">
        <v>156</v>
      </c>
      <c r="C14" s="63">
        <v>30</v>
      </c>
      <c r="D14" s="64">
        <v>2000</v>
      </c>
      <c r="E14" s="63">
        <v>1450</v>
      </c>
      <c r="F14" s="65">
        <f t="shared" ref="F14:F45" si="0">$J$12+(C14*$J$10/$L$10)</f>
        <v>4.8315369261477</v>
      </c>
      <c r="G14" s="65">
        <f t="shared" ref="G14:G28" si="1">IF(D14="","",($J$11-$H$7+D14)*$J$10/$H$12)</f>
        <v>4.51097804391218</v>
      </c>
      <c r="H14" s="66">
        <f t="shared" ref="H14:H28" si="2">IF(E14="","",($J$11-$H$7+E14)*$J$10/$H$12)</f>
        <v>4.20359281437126</v>
      </c>
      <c r="I14" s="65">
        <f t="shared" ref="I14:I45" si="3">$F$12+(C14*$J$10/$L$12)</f>
        <v>823.333333333333</v>
      </c>
      <c r="J14" s="65">
        <f t="shared" ref="J14:J28" si="4">IF(D14="","",($J$11-$H$7+D14)*$J$10/$B$12)</f>
        <v>753.333333333333</v>
      </c>
      <c r="K14" s="66">
        <f t="shared" ref="K14:K28" si="5">IF(E14="","",($J$11-$H$7+E14)*$J$10/$B$12)</f>
        <v>702</v>
      </c>
      <c r="L14" s="67">
        <v>6</v>
      </c>
    </row>
    <row r="15" ht="23.1" customHeight="1" spans="1:19">
      <c r="A15" s="61"/>
      <c r="B15" s="62" t="s">
        <v>154</v>
      </c>
      <c r="C15" s="63">
        <v>30</v>
      </c>
      <c r="D15" s="64">
        <v>2000</v>
      </c>
      <c r="E15" s="63">
        <v>1550</v>
      </c>
      <c r="F15" s="65">
        <f t="shared" si="0"/>
        <v>4.8315369261477</v>
      </c>
      <c r="G15" s="65">
        <f t="shared" si="1"/>
        <v>4.51097804391218</v>
      </c>
      <c r="H15" s="66">
        <f t="shared" si="2"/>
        <v>4.25948103792415</v>
      </c>
      <c r="I15" s="65">
        <f t="shared" si="3"/>
        <v>823.333333333333</v>
      </c>
      <c r="J15" s="65">
        <f t="shared" si="4"/>
        <v>753.333333333333</v>
      </c>
      <c r="K15" s="66">
        <f t="shared" si="5"/>
        <v>711.333333333333</v>
      </c>
      <c r="L15" s="67">
        <v>6</v>
      </c>
    </row>
    <row r="16" ht="23.1" customHeight="1" spans="1:19">
      <c r="A16" s="61"/>
      <c r="B16" s="62" t="s">
        <v>152</v>
      </c>
      <c r="C16" s="63">
        <v>25</v>
      </c>
      <c r="D16" s="64">
        <v>2000</v>
      </c>
      <c r="E16" s="63">
        <v>1250</v>
      </c>
      <c r="F16" s="65">
        <f t="shared" si="0"/>
        <v>4.7315369261477</v>
      </c>
      <c r="G16" s="65">
        <f t="shared" si="1"/>
        <v>4.51097804391218</v>
      </c>
      <c r="H16" s="66">
        <f t="shared" si="2"/>
        <v>4.09181636726547</v>
      </c>
      <c r="I16" s="65">
        <f t="shared" si="3"/>
        <v>803.888888888889</v>
      </c>
      <c r="J16" s="65">
        <f t="shared" si="4"/>
        <v>753.333333333333</v>
      </c>
      <c r="K16" s="66">
        <f t="shared" si="5"/>
        <v>683.333333333333</v>
      </c>
      <c r="L16" s="67">
        <v>6</v>
      </c>
    </row>
    <row r="17" ht="23.1" customHeight="1" spans="1:19">
      <c r="A17" s="61"/>
      <c r="B17" s="62" t="s">
        <v>153</v>
      </c>
      <c r="C17" s="63">
        <v>30</v>
      </c>
      <c r="D17" s="64">
        <v>2000</v>
      </c>
      <c r="E17" s="63">
        <v>1250</v>
      </c>
      <c r="F17" s="65">
        <f t="shared" si="0"/>
        <v>4.8315369261477</v>
      </c>
      <c r="G17" s="65">
        <f t="shared" si="1"/>
        <v>4.51097804391218</v>
      </c>
      <c r="H17" s="66">
        <f t="shared" si="2"/>
        <v>4.09181636726547</v>
      </c>
      <c r="I17" s="65">
        <f t="shared" si="3"/>
        <v>823.333333333333</v>
      </c>
      <c r="J17" s="65">
        <f t="shared" si="4"/>
        <v>753.333333333333</v>
      </c>
      <c r="K17" s="66">
        <f t="shared" si="5"/>
        <v>683.333333333333</v>
      </c>
      <c r="L17" s="67">
        <v>6</v>
      </c>
    </row>
    <row r="18" ht="23.1" customHeight="1" spans="1:19">
      <c r="A18" s="61"/>
      <c r="B18" s="62" t="s">
        <v>360</v>
      </c>
      <c r="C18" s="63">
        <v>25</v>
      </c>
      <c r="D18" s="64">
        <v>2000</v>
      </c>
      <c r="E18" s="63"/>
      <c r="F18" s="65">
        <f t="shared" si="0"/>
        <v>4.7315369261477</v>
      </c>
      <c r="G18" s="65">
        <f t="shared" si="1"/>
        <v>4.51097804391218</v>
      </c>
      <c r="H18" s="66" t="str">
        <f t="shared" si="2"/>
        <v/>
      </c>
      <c r="I18" s="65">
        <f t="shared" si="3"/>
        <v>803.888888888889</v>
      </c>
      <c r="J18" s="65">
        <f t="shared" si="4"/>
        <v>753.333333333333</v>
      </c>
      <c r="K18" s="66" t="str">
        <f t="shared" si="5"/>
        <v/>
      </c>
      <c r="L18" s="67">
        <v>6</v>
      </c>
    </row>
    <row r="19" ht="23.1" customHeight="1" spans="1:19">
      <c r="A19" s="61"/>
      <c r="B19" s="62" t="s">
        <v>150</v>
      </c>
      <c r="C19" s="63">
        <v>35</v>
      </c>
      <c r="D19" s="64">
        <v>2000</v>
      </c>
      <c r="E19" s="63">
        <v>1550</v>
      </c>
      <c r="F19" s="65">
        <f t="shared" si="0"/>
        <v>4.9315369261477</v>
      </c>
      <c r="G19" s="65">
        <f t="shared" si="1"/>
        <v>4.51097804391218</v>
      </c>
      <c r="H19" s="66">
        <f t="shared" si="2"/>
        <v>4.25948103792415</v>
      </c>
      <c r="I19" s="65">
        <f t="shared" si="3"/>
        <v>842.777777777778</v>
      </c>
      <c r="J19" s="65">
        <f t="shared" si="4"/>
        <v>753.333333333333</v>
      </c>
      <c r="K19" s="66">
        <f t="shared" si="5"/>
        <v>711.333333333333</v>
      </c>
      <c r="L19" s="67">
        <v>6</v>
      </c>
    </row>
    <row r="20" ht="23.1" customHeight="1" spans="1:19">
      <c r="A20" s="61"/>
      <c r="B20" s="62" t="s">
        <v>151</v>
      </c>
      <c r="C20" s="63">
        <v>35</v>
      </c>
      <c r="D20" s="64">
        <v>2000</v>
      </c>
      <c r="E20" s="63">
        <v>1550</v>
      </c>
      <c r="F20" s="65">
        <f t="shared" si="0"/>
        <v>4.9315369261477</v>
      </c>
      <c r="G20" s="65">
        <f t="shared" si="1"/>
        <v>4.51097804391218</v>
      </c>
      <c r="H20" s="66">
        <f t="shared" si="2"/>
        <v>4.25948103792415</v>
      </c>
      <c r="I20" s="65">
        <f t="shared" si="3"/>
        <v>842.777777777778</v>
      </c>
      <c r="J20" s="65">
        <f t="shared" si="4"/>
        <v>753.333333333333</v>
      </c>
      <c r="K20" s="66">
        <f t="shared" si="5"/>
        <v>711.333333333333</v>
      </c>
      <c r="L20" s="67">
        <v>6</v>
      </c>
    </row>
    <row r="21" ht="23.1" customHeight="1" spans="1:19">
      <c r="A21" s="61"/>
      <c r="B21" s="62" t="s">
        <v>361</v>
      </c>
      <c r="C21" s="63"/>
      <c r="D21" s="64">
        <v>2000</v>
      </c>
      <c r="E21" s="63"/>
      <c r="F21" s="65">
        <f t="shared" si="0"/>
        <v>4.2315369261477</v>
      </c>
      <c r="G21" s="65">
        <f t="shared" si="1"/>
        <v>4.51097804391218</v>
      </c>
      <c r="H21" s="66" t="str">
        <f t="shared" si="2"/>
        <v/>
      </c>
      <c r="I21" s="65">
        <f t="shared" si="3"/>
        <v>706.666666666667</v>
      </c>
      <c r="J21" s="65">
        <f t="shared" si="4"/>
        <v>753.333333333333</v>
      </c>
      <c r="K21" s="66" t="str">
        <f t="shared" si="5"/>
        <v/>
      </c>
      <c r="L21" s="67">
        <v>6</v>
      </c>
    </row>
    <row r="22" ht="23.1" customHeight="1" spans="1:19">
      <c r="A22" s="61" t="s">
        <v>362</v>
      </c>
      <c r="B22" s="62" t="s">
        <v>251</v>
      </c>
      <c r="C22" s="63">
        <v>40</v>
      </c>
      <c r="D22" s="64">
        <v>2300</v>
      </c>
      <c r="E22" s="63">
        <v>1450</v>
      </c>
      <c r="F22" s="65">
        <f t="shared" si="0"/>
        <v>5.0315369261477</v>
      </c>
      <c r="G22" s="65">
        <f t="shared" si="1"/>
        <v>4.67864271457086</v>
      </c>
      <c r="H22" s="66">
        <f t="shared" si="2"/>
        <v>4.20359281437126</v>
      </c>
      <c r="I22" s="65">
        <f t="shared" si="3"/>
        <v>862.222222222222</v>
      </c>
      <c r="J22" s="65">
        <f t="shared" si="4"/>
        <v>781.333333333333</v>
      </c>
      <c r="K22" s="66">
        <f t="shared" si="5"/>
        <v>702</v>
      </c>
      <c r="L22" s="67">
        <v>6.2</v>
      </c>
    </row>
    <row r="23" ht="23.1" customHeight="1" spans="1:19">
      <c r="A23" s="61"/>
      <c r="B23" s="62" t="s">
        <v>155</v>
      </c>
      <c r="C23" s="63">
        <v>40</v>
      </c>
      <c r="D23" s="64">
        <v>2300</v>
      </c>
      <c r="E23" s="63">
        <v>1450</v>
      </c>
      <c r="F23" s="65">
        <f t="shared" si="0"/>
        <v>5.0315369261477</v>
      </c>
      <c r="G23" s="65">
        <f t="shared" si="1"/>
        <v>4.67864271457086</v>
      </c>
      <c r="H23" s="66">
        <f t="shared" si="2"/>
        <v>4.20359281437126</v>
      </c>
      <c r="I23" s="65">
        <f t="shared" si="3"/>
        <v>862.222222222222</v>
      </c>
      <c r="J23" s="65">
        <f t="shared" si="4"/>
        <v>781.333333333333</v>
      </c>
      <c r="K23" s="66">
        <f t="shared" si="5"/>
        <v>702</v>
      </c>
      <c r="L23" s="67">
        <v>6.2</v>
      </c>
    </row>
    <row r="24" ht="23.1" customHeight="1" spans="1:19">
      <c r="A24" s="61"/>
      <c r="B24" s="62" t="s">
        <v>157</v>
      </c>
      <c r="C24" s="63">
        <v>50</v>
      </c>
      <c r="D24" s="64">
        <v>2300</v>
      </c>
      <c r="E24" s="63">
        <v>2150</v>
      </c>
      <c r="F24" s="65">
        <f t="shared" si="0"/>
        <v>5.2315369261477</v>
      </c>
      <c r="G24" s="65">
        <f t="shared" si="1"/>
        <v>4.67864271457086</v>
      </c>
      <c r="H24" s="66">
        <f t="shared" si="2"/>
        <v>4.59481037924152</v>
      </c>
      <c r="I24" s="65">
        <f t="shared" si="3"/>
        <v>901.111111111111</v>
      </c>
      <c r="J24" s="65">
        <f t="shared" si="4"/>
        <v>781.333333333333</v>
      </c>
      <c r="K24" s="66">
        <f t="shared" si="5"/>
        <v>767.333333333333</v>
      </c>
      <c r="L24" s="67">
        <v>6.2</v>
      </c>
      <c r="M24" s="7"/>
      <c r="N24" s="7"/>
      <c r="O24" s="7"/>
      <c r="P24" s="7"/>
      <c r="Q24" s="7"/>
      <c r="R24" s="7"/>
      <c r="S24" s="7"/>
    </row>
    <row r="25" ht="23.1" customHeight="1" spans="1:19">
      <c r="A25" s="61"/>
      <c r="B25" s="62" t="s">
        <v>158</v>
      </c>
      <c r="C25" s="63">
        <v>50</v>
      </c>
      <c r="D25" s="64">
        <v>2300</v>
      </c>
      <c r="E25" s="63"/>
      <c r="F25" s="65">
        <f t="shared" si="0"/>
        <v>5.2315369261477</v>
      </c>
      <c r="G25" s="65">
        <f t="shared" si="1"/>
        <v>4.67864271457086</v>
      </c>
      <c r="H25" s="66" t="str">
        <f t="shared" si="2"/>
        <v/>
      </c>
      <c r="I25" s="65">
        <f t="shared" si="3"/>
        <v>901.111111111111</v>
      </c>
      <c r="J25" s="65">
        <f t="shared" si="4"/>
        <v>781.333333333333</v>
      </c>
      <c r="K25" s="66" t="str">
        <f t="shared" si="5"/>
        <v/>
      </c>
      <c r="L25" s="67">
        <v>6.2</v>
      </c>
      <c r="M25" s="7"/>
      <c r="N25" s="7"/>
      <c r="O25" s="7"/>
      <c r="P25" s="7"/>
      <c r="Q25" s="7"/>
      <c r="R25" s="7"/>
      <c r="S25" s="7"/>
    </row>
    <row r="26" ht="23.1" customHeight="1" spans="1:19">
      <c r="A26" s="61"/>
      <c r="B26" s="62" t="s">
        <v>275</v>
      </c>
      <c r="C26" s="63">
        <v>50</v>
      </c>
      <c r="D26" s="64">
        <v>2300</v>
      </c>
      <c r="E26" s="63"/>
      <c r="F26" s="65">
        <f t="shared" si="0"/>
        <v>5.2315369261477</v>
      </c>
      <c r="G26" s="65">
        <f t="shared" si="1"/>
        <v>4.67864271457086</v>
      </c>
      <c r="H26" s="66" t="str">
        <f t="shared" si="2"/>
        <v/>
      </c>
      <c r="I26" s="65">
        <f t="shared" si="3"/>
        <v>901.111111111111</v>
      </c>
      <c r="J26" s="65">
        <f t="shared" si="4"/>
        <v>781.333333333333</v>
      </c>
      <c r="K26" s="66" t="str">
        <f t="shared" si="5"/>
        <v/>
      </c>
      <c r="L26" s="67">
        <v>6.2</v>
      </c>
    </row>
    <row r="27" ht="23.1" customHeight="1" spans="1:19">
      <c r="A27" s="61"/>
      <c r="B27" s="62" t="s">
        <v>168</v>
      </c>
      <c r="C27" s="63">
        <v>50</v>
      </c>
      <c r="D27" s="64">
        <v>2300</v>
      </c>
      <c r="E27" s="63"/>
      <c r="F27" s="65">
        <f t="shared" si="0"/>
        <v>5.2315369261477</v>
      </c>
      <c r="G27" s="65">
        <f t="shared" si="1"/>
        <v>4.67864271457086</v>
      </c>
      <c r="H27" s="66" t="str">
        <f t="shared" si="2"/>
        <v/>
      </c>
      <c r="I27" s="65">
        <f t="shared" si="3"/>
        <v>901.111111111111</v>
      </c>
      <c r="J27" s="65">
        <f t="shared" si="4"/>
        <v>781.333333333333</v>
      </c>
      <c r="K27" s="66" t="str">
        <f t="shared" si="5"/>
        <v/>
      </c>
      <c r="L27" s="67"/>
    </row>
    <row r="28" ht="23.1" customHeight="1" spans="1:19">
      <c r="A28" s="61" t="s">
        <v>363</v>
      </c>
      <c r="B28" s="62" t="s">
        <v>182</v>
      </c>
      <c r="C28" s="63">
        <v>55</v>
      </c>
      <c r="D28" s="64">
        <v>2550</v>
      </c>
      <c r="E28" s="63"/>
      <c r="F28" s="65">
        <f t="shared" si="0"/>
        <v>5.3315369261477</v>
      </c>
      <c r="G28" s="65">
        <f t="shared" si="1"/>
        <v>4.81836327345309</v>
      </c>
      <c r="H28" s="66" t="str">
        <f t="shared" si="2"/>
        <v/>
      </c>
      <c r="I28" s="65">
        <f t="shared" si="3"/>
        <v>920.555555555556</v>
      </c>
      <c r="J28" s="65">
        <f t="shared" si="4"/>
        <v>804.666666666667</v>
      </c>
      <c r="K28" s="66" t="str">
        <f t="shared" si="5"/>
        <v/>
      </c>
      <c r="L28" s="67">
        <v>6.3</v>
      </c>
    </row>
    <row r="29" ht="23.1" customHeight="1" spans="1:19">
      <c r="A29" s="61"/>
      <c r="B29" s="62" t="s">
        <v>364</v>
      </c>
      <c r="C29" s="63">
        <v>55</v>
      </c>
      <c r="D29" s="64">
        <v>2550</v>
      </c>
      <c r="E29" s="63">
        <v>2250</v>
      </c>
      <c r="F29" s="65">
        <f t="shared" si="0"/>
        <v>5.3315369261477</v>
      </c>
      <c r="G29" s="65">
        <f t="shared" ref="G29:G60" si="6">IF(D29="","",($J$11-$H$7+D29)*$J$10/$H$12)</f>
        <v>4.81836327345309</v>
      </c>
      <c r="H29" s="66"/>
      <c r="I29" s="65">
        <f t="shared" si="3"/>
        <v>920.555555555556</v>
      </c>
      <c r="J29" s="65">
        <f t="shared" ref="J29:J60" si="7">IF(D29="","",($J$11-$H$7+D29)*$J$10/$B$12)</f>
        <v>804.666666666667</v>
      </c>
      <c r="K29" s="66"/>
      <c r="L29" s="67">
        <v>6.3</v>
      </c>
    </row>
    <row r="30" ht="23.1" customHeight="1" spans="1:19">
      <c r="A30" s="61"/>
      <c r="B30" s="62" t="s">
        <v>160</v>
      </c>
      <c r="C30" s="63">
        <v>55</v>
      </c>
      <c r="D30" s="64">
        <v>2550</v>
      </c>
      <c r="E30" s="63">
        <v>2050</v>
      </c>
      <c r="F30" s="65">
        <f t="shared" si="0"/>
        <v>5.3315369261477</v>
      </c>
      <c r="G30" s="65">
        <f t="shared" si="6"/>
        <v>4.81836327345309</v>
      </c>
      <c r="H30" s="66">
        <f>IF(E30="","",($J$11-$H$7+E30)*$J$10/$H$12)</f>
        <v>4.53892215568862</v>
      </c>
      <c r="I30" s="65">
        <f t="shared" si="3"/>
        <v>920.555555555556</v>
      </c>
      <c r="J30" s="65">
        <f t="shared" si="7"/>
        <v>804.666666666667</v>
      </c>
      <c r="K30" s="66">
        <f>IF(E30="","",($J$11-$H$7+E30)*$J$10/$B$12)</f>
        <v>758</v>
      </c>
      <c r="L30" s="67">
        <v>6.3</v>
      </c>
    </row>
    <row r="31" ht="23.1" customHeight="1" spans="1:19">
      <c r="A31" s="61"/>
      <c r="B31" s="62" t="s">
        <v>161</v>
      </c>
      <c r="C31" s="63">
        <v>55</v>
      </c>
      <c r="D31" s="64">
        <v>2550</v>
      </c>
      <c r="E31" s="63">
        <v>2050</v>
      </c>
      <c r="F31" s="65">
        <f t="shared" si="0"/>
        <v>5.3315369261477</v>
      </c>
      <c r="G31" s="65">
        <f t="shared" si="6"/>
        <v>4.81836327345309</v>
      </c>
      <c r="H31" s="66">
        <f>IF(E31="","",($J$11-$H$7+E31)*$J$10/$H$12)</f>
        <v>4.53892215568862</v>
      </c>
      <c r="I31" s="65">
        <f t="shared" si="3"/>
        <v>920.555555555556</v>
      </c>
      <c r="J31" s="65">
        <f t="shared" si="7"/>
        <v>804.666666666667</v>
      </c>
      <c r="K31" s="66">
        <f>IF(E31="","",($J$11-$H$7+E31)*$J$10/$B$12)</f>
        <v>758</v>
      </c>
      <c r="L31" s="67">
        <v>6.3</v>
      </c>
    </row>
    <row r="32" ht="23.1" customHeight="1" spans="1:19">
      <c r="A32" s="61"/>
      <c r="B32" s="62" t="s">
        <v>162</v>
      </c>
      <c r="C32" s="63">
        <v>55</v>
      </c>
      <c r="D32" s="64">
        <v>2550</v>
      </c>
      <c r="E32" s="63">
        <v>2000</v>
      </c>
      <c r="F32" s="65">
        <f t="shared" si="0"/>
        <v>5.3315369261477</v>
      </c>
      <c r="G32" s="65">
        <f t="shared" si="6"/>
        <v>4.81836327345309</v>
      </c>
      <c r="H32" s="66">
        <f>IF(E32="","",($J$11-$H$7+E32)*$J$10/$H$12)</f>
        <v>4.51097804391218</v>
      </c>
      <c r="I32" s="65">
        <f t="shared" si="3"/>
        <v>920.555555555556</v>
      </c>
      <c r="J32" s="65">
        <f t="shared" si="7"/>
        <v>804.666666666667</v>
      </c>
      <c r="K32" s="66">
        <f>IF(E32="","",($J$11-$H$7+E32)*$J$10/$B$12)</f>
        <v>753.333333333333</v>
      </c>
      <c r="L32" s="67">
        <v>6.3</v>
      </c>
    </row>
    <row r="33" ht="23.1" customHeight="1" spans="1:12">
      <c r="A33" s="61"/>
      <c r="B33" s="62" t="s">
        <v>164</v>
      </c>
      <c r="C33" s="63">
        <v>55</v>
      </c>
      <c r="D33" s="64">
        <v>2550</v>
      </c>
      <c r="E33" s="63"/>
      <c r="F33" s="65">
        <f t="shared" si="0"/>
        <v>5.3315369261477</v>
      </c>
      <c r="G33" s="65">
        <f t="shared" si="6"/>
        <v>4.81836327345309</v>
      </c>
      <c r="H33" s="66"/>
      <c r="I33" s="65">
        <f t="shared" si="3"/>
        <v>920.555555555556</v>
      </c>
      <c r="J33" s="65">
        <f t="shared" si="7"/>
        <v>804.666666666667</v>
      </c>
      <c r="K33" s="66"/>
      <c r="L33" s="67">
        <v>6.3</v>
      </c>
    </row>
    <row r="34" ht="23.1" customHeight="1" spans="1:12">
      <c r="A34" s="61"/>
      <c r="B34" s="62" t="s">
        <v>159</v>
      </c>
      <c r="C34" s="63">
        <v>90</v>
      </c>
      <c r="D34" s="64">
        <v>2550</v>
      </c>
      <c r="E34" s="63"/>
      <c r="F34" s="65">
        <f t="shared" si="0"/>
        <v>6.0315369261477</v>
      </c>
      <c r="G34" s="65">
        <f t="shared" si="6"/>
        <v>4.81836327345309</v>
      </c>
      <c r="H34" s="66" t="str">
        <f t="shared" ref="H34:H65" si="8">IF(E34="","",($J$11-$H$7+E34)*$J$10/$H$12)</f>
        <v/>
      </c>
      <c r="I34" s="65">
        <f t="shared" si="3"/>
        <v>1056.66666666667</v>
      </c>
      <c r="J34" s="65">
        <f t="shared" si="7"/>
        <v>804.666666666667</v>
      </c>
      <c r="K34" s="66" t="str">
        <f>IF(E34="","",($J$11-$H$7+E34)*$J$10/$B$12)</f>
        <v/>
      </c>
      <c r="L34" s="67">
        <v>6.3</v>
      </c>
    </row>
    <row r="35" ht="23.1" customHeight="1" spans="1:12">
      <c r="A35" s="61"/>
      <c r="B35" s="62" t="s">
        <v>221</v>
      </c>
      <c r="C35" s="63">
        <v>90</v>
      </c>
      <c r="D35" s="64">
        <v>2550</v>
      </c>
      <c r="E35" s="63"/>
      <c r="F35" s="65">
        <f t="shared" si="0"/>
        <v>6.0315369261477</v>
      </c>
      <c r="G35" s="65">
        <f t="shared" si="6"/>
        <v>4.81836327345309</v>
      </c>
      <c r="H35" s="66" t="str">
        <f t="shared" si="8"/>
        <v/>
      </c>
      <c r="I35" s="65">
        <f t="shared" si="3"/>
        <v>1056.66666666667</v>
      </c>
      <c r="J35" s="65">
        <f t="shared" si="7"/>
        <v>804.666666666667</v>
      </c>
      <c r="K35" s="66" t="str">
        <f>IF(E35="","",($J$11-$H$7+E35)*$J$10/$B$12)</f>
        <v/>
      </c>
      <c r="L35" s="67">
        <v>6.3</v>
      </c>
    </row>
    <row r="36" ht="23.1" customHeight="1" spans="1:12">
      <c r="A36" s="61" t="s">
        <v>365</v>
      </c>
      <c r="B36" s="62" t="s">
        <v>185</v>
      </c>
      <c r="C36" s="63">
        <v>55</v>
      </c>
      <c r="D36" s="64">
        <v>2900</v>
      </c>
      <c r="E36" s="63"/>
      <c r="F36" s="65">
        <f t="shared" si="0"/>
        <v>5.3315369261477</v>
      </c>
      <c r="G36" s="65">
        <f t="shared" si="6"/>
        <v>5.01397205588822</v>
      </c>
      <c r="H36" s="66" t="str">
        <f t="shared" si="8"/>
        <v/>
      </c>
      <c r="I36" s="65">
        <f t="shared" si="3"/>
        <v>920.555555555556</v>
      </c>
      <c r="J36" s="65">
        <f t="shared" si="7"/>
        <v>837.333333333333</v>
      </c>
      <c r="K36" s="66"/>
      <c r="L36" s="67">
        <v>6.5</v>
      </c>
    </row>
    <row r="37" ht="23.1" customHeight="1" spans="1:12">
      <c r="A37" s="61"/>
      <c r="B37" s="62" t="s">
        <v>163</v>
      </c>
      <c r="C37" s="63">
        <v>55</v>
      </c>
      <c r="D37" s="64">
        <v>2900</v>
      </c>
      <c r="E37" s="63"/>
      <c r="F37" s="65">
        <f t="shared" si="0"/>
        <v>5.3315369261477</v>
      </c>
      <c r="G37" s="65">
        <f t="shared" si="6"/>
        <v>5.01397205588822</v>
      </c>
      <c r="H37" s="66" t="str">
        <f t="shared" si="8"/>
        <v/>
      </c>
      <c r="I37" s="65">
        <f t="shared" si="3"/>
        <v>920.555555555556</v>
      </c>
      <c r="J37" s="65">
        <f t="shared" si="7"/>
        <v>837.333333333333</v>
      </c>
      <c r="K37" s="66" t="str">
        <f t="shared" ref="K37:K68" si="9">IF(E37="","",($J$11-$H$7+E37)*$J$10/$B$12)</f>
        <v/>
      </c>
      <c r="L37" s="67">
        <v>6.5</v>
      </c>
    </row>
    <row r="38" ht="23.1" customHeight="1" spans="1:12">
      <c r="A38" s="61"/>
      <c r="B38" s="62" t="s">
        <v>228</v>
      </c>
      <c r="C38" s="63">
        <v>55</v>
      </c>
      <c r="D38" s="64">
        <v>2900</v>
      </c>
      <c r="E38" s="63">
        <v>2050</v>
      </c>
      <c r="F38" s="65">
        <f t="shared" si="0"/>
        <v>5.3315369261477</v>
      </c>
      <c r="G38" s="65">
        <f t="shared" si="6"/>
        <v>5.01397205588822</v>
      </c>
      <c r="H38" s="66">
        <f t="shared" si="8"/>
        <v>4.53892215568862</v>
      </c>
      <c r="I38" s="65">
        <f t="shared" si="3"/>
        <v>920.555555555556</v>
      </c>
      <c r="J38" s="65">
        <f t="shared" si="7"/>
        <v>837.333333333333</v>
      </c>
      <c r="K38" s="66">
        <f t="shared" si="9"/>
        <v>758</v>
      </c>
      <c r="L38" s="67">
        <v>6.5</v>
      </c>
    </row>
    <row r="39" ht="23.1" customHeight="1" spans="1:12">
      <c r="A39" s="61"/>
      <c r="B39" s="62" t="s">
        <v>149</v>
      </c>
      <c r="C39" s="63">
        <v>55</v>
      </c>
      <c r="D39" s="64">
        <v>2900</v>
      </c>
      <c r="E39" s="63"/>
      <c r="F39" s="65">
        <f t="shared" si="0"/>
        <v>5.3315369261477</v>
      </c>
      <c r="G39" s="65">
        <f t="shared" si="6"/>
        <v>5.01397205588822</v>
      </c>
      <c r="H39" s="66" t="str">
        <f t="shared" si="8"/>
        <v/>
      </c>
      <c r="I39" s="65">
        <f t="shared" si="3"/>
        <v>920.555555555556</v>
      </c>
      <c r="J39" s="65">
        <f t="shared" si="7"/>
        <v>837.333333333333</v>
      </c>
      <c r="K39" s="66" t="str">
        <f t="shared" si="9"/>
        <v/>
      </c>
      <c r="L39" s="67">
        <v>6.5</v>
      </c>
    </row>
    <row r="40" ht="23.1" customHeight="1" spans="1:12">
      <c r="A40" s="61"/>
      <c r="B40" s="62" t="s">
        <v>366</v>
      </c>
      <c r="C40" s="63">
        <v>75</v>
      </c>
      <c r="D40" s="64">
        <v>2900</v>
      </c>
      <c r="E40" s="63"/>
      <c r="F40" s="65">
        <f t="shared" si="0"/>
        <v>5.7315369261477</v>
      </c>
      <c r="G40" s="65">
        <f t="shared" si="6"/>
        <v>5.01397205588822</v>
      </c>
      <c r="H40" s="66" t="str">
        <f t="shared" si="8"/>
        <v/>
      </c>
      <c r="I40" s="65">
        <f t="shared" si="3"/>
        <v>998.333333333333</v>
      </c>
      <c r="J40" s="65">
        <f t="shared" si="7"/>
        <v>837.333333333333</v>
      </c>
      <c r="K40" s="66" t="str">
        <f t="shared" si="9"/>
        <v/>
      </c>
      <c r="L40" s="67">
        <v>6.5</v>
      </c>
    </row>
    <row r="41" ht="23.1" customHeight="1" spans="1:12">
      <c r="A41" s="61"/>
      <c r="B41" s="62" t="s">
        <v>223</v>
      </c>
      <c r="C41" s="63">
        <v>70</v>
      </c>
      <c r="D41" s="64">
        <v>2900</v>
      </c>
      <c r="E41" s="63"/>
      <c r="F41" s="65">
        <f t="shared" si="0"/>
        <v>5.6315369261477</v>
      </c>
      <c r="G41" s="65">
        <f t="shared" si="6"/>
        <v>5.01397205588822</v>
      </c>
      <c r="H41" s="66" t="str">
        <f t="shared" si="8"/>
        <v/>
      </c>
      <c r="I41" s="65">
        <f t="shared" si="3"/>
        <v>978.888888888889</v>
      </c>
      <c r="J41" s="65">
        <f t="shared" si="7"/>
        <v>837.333333333333</v>
      </c>
      <c r="K41" s="66" t="str">
        <f t="shared" si="9"/>
        <v/>
      </c>
      <c r="L41" s="67">
        <v>6.5</v>
      </c>
    </row>
    <row r="42" ht="23.1" customHeight="1" spans="1:12">
      <c r="A42" s="61"/>
      <c r="B42" s="62" t="s">
        <v>219</v>
      </c>
      <c r="C42" s="63">
        <v>70</v>
      </c>
      <c r="D42" s="64">
        <v>2900</v>
      </c>
      <c r="E42" s="63"/>
      <c r="F42" s="65">
        <f t="shared" si="0"/>
        <v>5.6315369261477</v>
      </c>
      <c r="G42" s="65">
        <f t="shared" si="6"/>
        <v>5.01397205588822</v>
      </c>
      <c r="H42" s="66" t="str">
        <f t="shared" si="8"/>
        <v/>
      </c>
      <c r="I42" s="65">
        <f t="shared" si="3"/>
        <v>978.888888888889</v>
      </c>
      <c r="J42" s="65">
        <f t="shared" si="7"/>
        <v>837.333333333333</v>
      </c>
      <c r="K42" s="66" t="str">
        <f t="shared" si="9"/>
        <v/>
      </c>
      <c r="L42" s="67">
        <v>6.5</v>
      </c>
    </row>
    <row r="43" ht="23.1" customHeight="1" spans="1:12">
      <c r="A43" s="61"/>
      <c r="B43" s="62" t="s">
        <v>167</v>
      </c>
      <c r="C43" s="63">
        <v>70</v>
      </c>
      <c r="D43" s="64">
        <v>2900</v>
      </c>
      <c r="E43" s="63"/>
      <c r="F43" s="65">
        <f t="shared" si="0"/>
        <v>5.6315369261477</v>
      </c>
      <c r="G43" s="65">
        <f t="shared" si="6"/>
        <v>5.01397205588822</v>
      </c>
      <c r="H43" s="66" t="str">
        <f t="shared" si="8"/>
        <v/>
      </c>
      <c r="I43" s="65">
        <f t="shared" si="3"/>
        <v>978.888888888889</v>
      </c>
      <c r="J43" s="65">
        <f t="shared" si="7"/>
        <v>837.333333333333</v>
      </c>
      <c r="K43" s="66" t="str">
        <f t="shared" si="9"/>
        <v/>
      </c>
      <c r="L43" s="67">
        <v>6.5</v>
      </c>
    </row>
    <row r="44" ht="23.1" customHeight="1" spans="1:12">
      <c r="A44" s="61" t="s">
        <v>367</v>
      </c>
      <c r="B44" s="68" t="s">
        <v>229</v>
      </c>
      <c r="C44" s="63">
        <v>60</v>
      </c>
      <c r="D44" s="64">
        <v>2650</v>
      </c>
      <c r="E44" s="63">
        <v>1750</v>
      </c>
      <c r="F44" s="65">
        <f t="shared" si="0"/>
        <v>5.4315369261477</v>
      </c>
      <c r="G44" s="65">
        <f t="shared" si="6"/>
        <v>4.87425149700599</v>
      </c>
      <c r="H44" s="66">
        <f t="shared" si="8"/>
        <v>4.37125748502994</v>
      </c>
      <c r="I44" s="65">
        <f t="shared" si="3"/>
        <v>940</v>
      </c>
      <c r="J44" s="65">
        <f t="shared" si="7"/>
        <v>814</v>
      </c>
      <c r="K44" s="66">
        <f t="shared" si="9"/>
        <v>730</v>
      </c>
      <c r="L44" s="67">
        <v>6.3</v>
      </c>
    </row>
    <row r="45" ht="23.1" customHeight="1" spans="1:12">
      <c r="A45" s="61"/>
      <c r="B45" s="62" t="s">
        <v>165</v>
      </c>
      <c r="C45" s="63">
        <v>60</v>
      </c>
      <c r="D45" s="64">
        <v>2650</v>
      </c>
      <c r="E45" s="63">
        <v>1750</v>
      </c>
      <c r="F45" s="65">
        <f t="shared" si="0"/>
        <v>5.4315369261477</v>
      </c>
      <c r="G45" s="65">
        <f t="shared" si="6"/>
        <v>4.87425149700599</v>
      </c>
      <c r="H45" s="66">
        <f t="shared" si="8"/>
        <v>4.37125748502994</v>
      </c>
      <c r="I45" s="65">
        <f t="shared" si="3"/>
        <v>940</v>
      </c>
      <c r="J45" s="65">
        <f t="shared" si="7"/>
        <v>814</v>
      </c>
      <c r="K45" s="66">
        <f t="shared" si="9"/>
        <v>730</v>
      </c>
      <c r="L45" s="67">
        <v>6.3</v>
      </c>
    </row>
    <row r="46" ht="23.1" customHeight="1" spans="1:12">
      <c r="A46" s="61"/>
      <c r="B46" s="62" t="s">
        <v>166</v>
      </c>
      <c r="C46" s="63">
        <v>60</v>
      </c>
      <c r="D46" s="64">
        <v>2650</v>
      </c>
      <c r="E46" s="63">
        <v>1750</v>
      </c>
      <c r="F46" s="65">
        <f t="shared" ref="F46:F77" si="10">$J$12+(C46*$J$10/$L$10)</f>
        <v>5.4315369261477</v>
      </c>
      <c r="G46" s="65">
        <f t="shared" si="6"/>
        <v>4.87425149700599</v>
      </c>
      <c r="H46" s="66">
        <f t="shared" si="8"/>
        <v>4.37125748502994</v>
      </c>
      <c r="I46" s="65">
        <f t="shared" ref="I46:I77" si="11">$F$12+(C46*$J$10/$L$12)</f>
        <v>940</v>
      </c>
      <c r="J46" s="65">
        <f t="shared" si="7"/>
        <v>814</v>
      </c>
      <c r="K46" s="66">
        <f t="shared" si="9"/>
        <v>730</v>
      </c>
      <c r="L46" s="67">
        <v>6.3</v>
      </c>
    </row>
    <row r="47" ht="23.1" customHeight="1" spans="1:12">
      <c r="A47" s="61" t="s">
        <v>368</v>
      </c>
      <c r="B47" s="62" t="s">
        <v>369</v>
      </c>
      <c r="C47" s="63">
        <v>80</v>
      </c>
      <c r="D47" s="64">
        <v>3300</v>
      </c>
      <c r="E47" s="63"/>
      <c r="F47" s="65">
        <f t="shared" si="10"/>
        <v>5.8315369261477</v>
      </c>
      <c r="G47" s="65">
        <f t="shared" si="6"/>
        <v>5.2375249500998</v>
      </c>
      <c r="H47" s="66" t="str">
        <f t="shared" si="8"/>
        <v/>
      </c>
      <c r="I47" s="65">
        <f t="shared" si="11"/>
        <v>1017.77777777778</v>
      </c>
      <c r="J47" s="65">
        <f t="shared" si="7"/>
        <v>874.666666666667</v>
      </c>
      <c r="K47" s="66" t="str">
        <f t="shared" si="9"/>
        <v/>
      </c>
      <c r="L47" s="67">
        <v>6.7</v>
      </c>
    </row>
    <row r="48" ht="23.1" customHeight="1" spans="1:12">
      <c r="A48" s="61"/>
      <c r="B48" s="62" t="s">
        <v>230</v>
      </c>
      <c r="C48" s="63">
        <v>80</v>
      </c>
      <c r="D48" s="64">
        <v>3300</v>
      </c>
      <c r="E48" s="63"/>
      <c r="F48" s="65">
        <f t="shared" si="10"/>
        <v>5.8315369261477</v>
      </c>
      <c r="G48" s="65">
        <f t="shared" si="6"/>
        <v>5.2375249500998</v>
      </c>
      <c r="H48" s="66" t="str">
        <f t="shared" si="8"/>
        <v/>
      </c>
      <c r="I48" s="65">
        <f t="shared" si="11"/>
        <v>1017.77777777778</v>
      </c>
      <c r="J48" s="65">
        <f t="shared" si="7"/>
        <v>874.666666666667</v>
      </c>
      <c r="K48" s="66" t="str">
        <f t="shared" si="9"/>
        <v/>
      </c>
      <c r="L48" s="67">
        <v>6.7</v>
      </c>
    </row>
    <row r="49" ht="23.1" customHeight="1" spans="1:12">
      <c r="A49" s="61" t="s">
        <v>370</v>
      </c>
      <c r="B49" s="62" t="s">
        <v>225</v>
      </c>
      <c r="C49" s="63">
        <v>75</v>
      </c>
      <c r="D49" s="64">
        <v>3300</v>
      </c>
      <c r="E49" s="63"/>
      <c r="F49" s="65">
        <f t="shared" si="10"/>
        <v>5.7315369261477</v>
      </c>
      <c r="G49" s="65">
        <f t="shared" si="6"/>
        <v>5.2375249500998</v>
      </c>
      <c r="H49" s="66" t="str">
        <f t="shared" si="8"/>
        <v/>
      </c>
      <c r="I49" s="65">
        <f t="shared" si="11"/>
        <v>998.333333333333</v>
      </c>
      <c r="J49" s="65">
        <f t="shared" si="7"/>
        <v>874.666666666667</v>
      </c>
      <c r="K49" s="66" t="str">
        <f t="shared" si="9"/>
        <v/>
      </c>
      <c r="L49" s="67">
        <v>6.7</v>
      </c>
    </row>
    <row r="50" ht="23.1" customHeight="1" spans="1:12">
      <c r="A50" s="61"/>
      <c r="B50" s="62" t="s">
        <v>148</v>
      </c>
      <c r="C50" s="63">
        <v>75</v>
      </c>
      <c r="D50" s="64">
        <v>3300</v>
      </c>
      <c r="E50" s="63"/>
      <c r="F50" s="65">
        <f t="shared" si="10"/>
        <v>5.7315369261477</v>
      </c>
      <c r="G50" s="65">
        <f t="shared" si="6"/>
        <v>5.2375249500998</v>
      </c>
      <c r="H50" s="66" t="str">
        <f t="shared" si="8"/>
        <v/>
      </c>
      <c r="I50" s="65">
        <f t="shared" si="11"/>
        <v>998.333333333333</v>
      </c>
      <c r="J50" s="65">
        <f t="shared" si="7"/>
        <v>874.666666666667</v>
      </c>
      <c r="K50" s="66" t="str">
        <f t="shared" si="9"/>
        <v/>
      </c>
      <c r="L50" s="67">
        <v>6.7</v>
      </c>
    </row>
    <row r="51" ht="23.1" customHeight="1" spans="1:12">
      <c r="A51" s="61"/>
      <c r="B51" s="62" t="s">
        <v>147</v>
      </c>
      <c r="C51" s="63">
        <v>90</v>
      </c>
      <c r="D51" s="64">
        <v>3300</v>
      </c>
      <c r="E51" s="63"/>
      <c r="F51" s="65">
        <f t="shared" si="10"/>
        <v>6.0315369261477</v>
      </c>
      <c r="G51" s="65">
        <f t="shared" si="6"/>
        <v>5.2375249500998</v>
      </c>
      <c r="H51" s="66" t="str">
        <f t="shared" si="8"/>
        <v/>
      </c>
      <c r="I51" s="65">
        <f t="shared" si="11"/>
        <v>1056.66666666667</v>
      </c>
      <c r="J51" s="65">
        <f t="shared" si="7"/>
        <v>874.666666666667</v>
      </c>
      <c r="K51" s="66" t="str">
        <f t="shared" si="9"/>
        <v/>
      </c>
      <c r="L51" s="67">
        <v>6.7</v>
      </c>
    </row>
    <row r="52" ht="23.1" customHeight="1" spans="1:12">
      <c r="A52" s="61"/>
      <c r="B52" s="62" t="s">
        <v>146</v>
      </c>
      <c r="C52" s="63">
        <v>90</v>
      </c>
      <c r="D52" s="64">
        <v>3300</v>
      </c>
      <c r="E52" s="63"/>
      <c r="F52" s="65">
        <f t="shared" si="10"/>
        <v>6.0315369261477</v>
      </c>
      <c r="G52" s="65">
        <f t="shared" si="6"/>
        <v>5.2375249500998</v>
      </c>
      <c r="H52" s="66" t="str">
        <f t="shared" si="8"/>
        <v/>
      </c>
      <c r="I52" s="65">
        <f t="shared" si="11"/>
        <v>1056.66666666667</v>
      </c>
      <c r="J52" s="65">
        <f t="shared" si="7"/>
        <v>874.666666666667</v>
      </c>
      <c r="K52" s="66" t="str">
        <f t="shared" si="9"/>
        <v/>
      </c>
      <c r="L52" s="67">
        <v>6.7</v>
      </c>
    </row>
    <row r="53" ht="23.1" customHeight="1" spans="1:12">
      <c r="A53" s="61"/>
      <c r="B53" s="62" t="s">
        <v>226</v>
      </c>
      <c r="C53" s="63">
        <v>90</v>
      </c>
      <c r="D53" s="64">
        <v>3300</v>
      </c>
      <c r="E53" s="63"/>
      <c r="F53" s="65">
        <f t="shared" si="10"/>
        <v>6.0315369261477</v>
      </c>
      <c r="G53" s="65">
        <f t="shared" si="6"/>
        <v>5.2375249500998</v>
      </c>
      <c r="H53" s="66" t="str">
        <f t="shared" si="8"/>
        <v/>
      </c>
      <c r="I53" s="65">
        <f t="shared" si="11"/>
        <v>1056.66666666667</v>
      </c>
      <c r="J53" s="65">
        <f t="shared" si="7"/>
        <v>874.666666666667</v>
      </c>
      <c r="K53" s="66" t="str">
        <f t="shared" si="9"/>
        <v/>
      </c>
      <c r="L53" s="67">
        <v>6.7</v>
      </c>
    </row>
    <row r="54" ht="23.1" customHeight="1" spans="1:12">
      <c r="A54" s="61"/>
      <c r="B54" s="62" t="s">
        <v>252</v>
      </c>
      <c r="C54" s="63">
        <v>90</v>
      </c>
      <c r="D54" s="64">
        <v>3300</v>
      </c>
      <c r="E54" s="63"/>
      <c r="F54" s="65">
        <f t="shared" si="10"/>
        <v>6.0315369261477</v>
      </c>
      <c r="G54" s="65">
        <f t="shared" si="6"/>
        <v>5.2375249500998</v>
      </c>
      <c r="H54" s="66" t="str">
        <f t="shared" si="8"/>
        <v/>
      </c>
      <c r="I54" s="65">
        <f t="shared" si="11"/>
        <v>1056.66666666667</v>
      </c>
      <c r="J54" s="65">
        <f t="shared" si="7"/>
        <v>874.666666666667</v>
      </c>
      <c r="K54" s="66" t="str">
        <f t="shared" si="9"/>
        <v/>
      </c>
      <c r="L54" s="67">
        <v>6.7</v>
      </c>
    </row>
    <row r="55" ht="23.1" customHeight="1" spans="1:12">
      <c r="A55" s="61"/>
      <c r="B55" s="62" t="s">
        <v>371</v>
      </c>
      <c r="C55" s="63">
        <v>90</v>
      </c>
      <c r="D55" s="64">
        <v>3300</v>
      </c>
      <c r="E55" s="63"/>
      <c r="F55" s="65">
        <f t="shared" si="10"/>
        <v>6.0315369261477</v>
      </c>
      <c r="G55" s="65">
        <f t="shared" si="6"/>
        <v>5.2375249500998</v>
      </c>
      <c r="H55" s="66" t="str">
        <f t="shared" si="8"/>
        <v/>
      </c>
      <c r="I55" s="65">
        <f t="shared" si="11"/>
        <v>1056.66666666667</v>
      </c>
      <c r="J55" s="65">
        <f t="shared" si="7"/>
        <v>874.666666666667</v>
      </c>
      <c r="K55" s="66" t="str">
        <f t="shared" si="9"/>
        <v/>
      </c>
      <c r="L55" s="67">
        <v>6.7</v>
      </c>
    </row>
    <row r="56" ht="23.1" customHeight="1" spans="1:12">
      <c r="A56" s="61" t="s">
        <v>372</v>
      </c>
      <c r="B56" s="62" t="s">
        <v>216</v>
      </c>
      <c r="C56" s="63">
        <v>100</v>
      </c>
      <c r="D56" s="64">
        <v>3800</v>
      </c>
      <c r="E56" s="63"/>
      <c r="F56" s="65">
        <f t="shared" si="10"/>
        <v>6.2315369261477</v>
      </c>
      <c r="G56" s="65">
        <f t="shared" si="6"/>
        <v>5.51696606786427</v>
      </c>
      <c r="H56" s="66" t="str">
        <f t="shared" si="8"/>
        <v/>
      </c>
      <c r="I56" s="65">
        <f t="shared" si="11"/>
        <v>1095.55555555556</v>
      </c>
      <c r="J56" s="65">
        <f t="shared" si="7"/>
        <v>921.333333333333</v>
      </c>
      <c r="K56" s="66" t="str">
        <f t="shared" si="9"/>
        <v/>
      </c>
      <c r="L56" s="67"/>
    </row>
    <row r="57" ht="23.1" customHeight="1" spans="1:12">
      <c r="A57" s="61"/>
      <c r="B57" s="62" t="s">
        <v>144</v>
      </c>
      <c r="C57" s="63">
        <v>105</v>
      </c>
      <c r="D57" s="64">
        <v>3800</v>
      </c>
      <c r="E57" s="63"/>
      <c r="F57" s="65">
        <f t="shared" si="10"/>
        <v>6.3315369261477</v>
      </c>
      <c r="G57" s="65">
        <f t="shared" si="6"/>
        <v>5.51696606786427</v>
      </c>
      <c r="H57" s="66" t="str">
        <f t="shared" si="8"/>
        <v/>
      </c>
      <c r="I57" s="65">
        <f t="shared" si="11"/>
        <v>1115</v>
      </c>
      <c r="J57" s="65">
        <f t="shared" si="7"/>
        <v>921.333333333333</v>
      </c>
      <c r="K57" s="66" t="str">
        <f t="shared" si="9"/>
        <v/>
      </c>
      <c r="L57" s="67"/>
    </row>
    <row r="58" ht="23.1" customHeight="1" spans="1:12">
      <c r="A58" s="61"/>
      <c r="B58" s="62" t="s">
        <v>291</v>
      </c>
      <c r="C58" s="63">
        <v>105</v>
      </c>
      <c r="D58" s="64">
        <v>3800</v>
      </c>
      <c r="E58" s="63"/>
      <c r="F58" s="65">
        <f t="shared" si="10"/>
        <v>6.3315369261477</v>
      </c>
      <c r="G58" s="65">
        <f t="shared" si="6"/>
        <v>5.51696606786427</v>
      </c>
      <c r="H58" s="66" t="str">
        <f t="shared" si="8"/>
        <v/>
      </c>
      <c r="I58" s="65">
        <f t="shared" si="11"/>
        <v>1115</v>
      </c>
      <c r="J58" s="65">
        <f t="shared" si="7"/>
        <v>921.333333333333</v>
      </c>
      <c r="K58" s="66" t="str">
        <f t="shared" si="9"/>
        <v/>
      </c>
      <c r="L58" s="67"/>
    </row>
    <row r="59" ht="23.1" customHeight="1" spans="1:12">
      <c r="A59" s="61"/>
      <c r="B59" s="62" t="s">
        <v>131</v>
      </c>
      <c r="C59" s="63">
        <v>110</v>
      </c>
      <c r="D59" s="64">
        <v>3800</v>
      </c>
      <c r="E59" s="63"/>
      <c r="F59" s="65">
        <f t="shared" si="10"/>
        <v>6.4315369261477</v>
      </c>
      <c r="G59" s="65">
        <f t="shared" si="6"/>
        <v>5.51696606786427</v>
      </c>
      <c r="H59" s="66" t="str">
        <f t="shared" si="8"/>
        <v/>
      </c>
      <c r="I59" s="65">
        <f t="shared" si="11"/>
        <v>1134.44444444444</v>
      </c>
      <c r="J59" s="65">
        <f t="shared" si="7"/>
        <v>921.333333333333</v>
      </c>
      <c r="K59" s="66" t="str">
        <f t="shared" si="9"/>
        <v/>
      </c>
      <c r="L59" s="67"/>
    </row>
    <row r="60" ht="23.1" customHeight="1" spans="1:12">
      <c r="A60" s="61"/>
      <c r="B60" s="62" t="s">
        <v>212</v>
      </c>
      <c r="C60" s="63">
        <v>110</v>
      </c>
      <c r="D60" s="64">
        <v>3800</v>
      </c>
      <c r="E60" s="63"/>
      <c r="F60" s="65">
        <f t="shared" si="10"/>
        <v>6.4315369261477</v>
      </c>
      <c r="G60" s="65">
        <f t="shared" si="6"/>
        <v>5.51696606786427</v>
      </c>
      <c r="H60" s="66" t="str">
        <f t="shared" si="8"/>
        <v/>
      </c>
      <c r="I60" s="65">
        <f t="shared" si="11"/>
        <v>1134.44444444444</v>
      </c>
      <c r="J60" s="65">
        <f t="shared" si="7"/>
        <v>921.333333333333</v>
      </c>
      <c r="K60" s="66" t="str">
        <f t="shared" si="9"/>
        <v/>
      </c>
      <c r="L60" s="67"/>
    </row>
    <row r="61" ht="23.1" customHeight="1" spans="1:12">
      <c r="A61" s="61"/>
      <c r="B61" s="62" t="s">
        <v>292</v>
      </c>
      <c r="C61" s="63">
        <v>110</v>
      </c>
      <c r="D61" s="64">
        <v>3800</v>
      </c>
      <c r="E61" s="63"/>
      <c r="F61" s="65">
        <f t="shared" si="10"/>
        <v>6.4315369261477</v>
      </c>
      <c r="G61" s="65">
        <f t="shared" ref="G61:G92" si="12">IF(D61="","",($J$11-$H$7+D61)*$J$10/$H$12)</f>
        <v>5.51696606786427</v>
      </c>
      <c r="H61" s="66" t="str">
        <f t="shared" si="8"/>
        <v/>
      </c>
      <c r="I61" s="65">
        <f t="shared" si="11"/>
        <v>1134.44444444444</v>
      </c>
      <c r="J61" s="65">
        <f t="shared" ref="J61:J92" si="13">IF(D61="","",($J$11-$H$7+D61)*$J$10/$B$12)</f>
        <v>921.333333333333</v>
      </c>
      <c r="K61" s="66" t="str">
        <f t="shared" si="9"/>
        <v/>
      </c>
      <c r="L61" s="67">
        <v>7</v>
      </c>
    </row>
    <row r="62" ht="23.1" customHeight="1" spans="1:12">
      <c r="A62" s="61"/>
      <c r="B62" s="62" t="s">
        <v>227</v>
      </c>
      <c r="C62" s="63">
        <v>110</v>
      </c>
      <c r="D62" s="64">
        <v>3800</v>
      </c>
      <c r="E62" s="63"/>
      <c r="F62" s="65">
        <f t="shared" si="10"/>
        <v>6.4315369261477</v>
      </c>
      <c r="G62" s="65">
        <f t="shared" si="12"/>
        <v>5.51696606786427</v>
      </c>
      <c r="H62" s="66" t="str">
        <f t="shared" si="8"/>
        <v/>
      </c>
      <c r="I62" s="65">
        <f t="shared" si="11"/>
        <v>1134.44444444444</v>
      </c>
      <c r="J62" s="65">
        <f t="shared" si="13"/>
        <v>921.333333333333</v>
      </c>
      <c r="K62" s="66" t="str">
        <f t="shared" si="9"/>
        <v/>
      </c>
      <c r="L62" s="67"/>
    </row>
    <row r="63" ht="23.1" customHeight="1" spans="1:12">
      <c r="A63" s="61"/>
      <c r="B63" s="62" t="s">
        <v>139</v>
      </c>
      <c r="C63" s="63">
        <v>100</v>
      </c>
      <c r="D63" s="64">
        <v>3800</v>
      </c>
      <c r="E63" s="63"/>
      <c r="F63" s="65">
        <f t="shared" si="10"/>
        <v>6.2315369261477</v>
      </c>
      <c r="G63" s="65">
        <f t="shared" si="12"/>
        <v>5.51696606786427</v>
      </c>
      <c r="H63" s="66" t="str">
        <f t="shared" si="8"/>
        <v/>
      </c>
      <c r="I63" s="65">
        <f t="shared" si="11"/>
        <v>1095.55555555556</v>
      </c>
      <c r="J63" s="65">
        <f t="shared" si="13"/>
        <v>921.333333333333</v>
      </c>
      <c r="K63" s="66" t="str">
        <f t="shared" si="9"/>
        <v/>
      </c>
      <c r="L63" s="67">
        <v>7</v>
      </c>
    </row>
    <row r="64" ht="23.1" customHeight="1" spans="1:12">
      <c r="A64" s="61"/>
      <c r="B64" s="62" t="s">
        <v>135</v>
      </c>
      <c r="C64" s="63">
        <v>95</v>
      </c>
      <c r="D64" s="64">
        <v>3800</v>
      </c>
      <c r="E64" s="63"/>
      <c r="F64" s="65">
        <f t="shared" si="10"/>
        <v>6.1315369261477</v>
      </c>
      <c r="G64" s="65">
        <f t="shared" si="12"/>
        <v>5.51696606786427</v>
      </c>
      <c r="H64" s="66" t="str">
        <f t="shared" si="8"/>
        <v/>
      </c>
      <c r="I64" s="65">
        <f t="shared" si="11"/>
        <v>1076.11111111111</v>
      </c>
      <c r="J64" s="65">
        <f t="shared" si="13"/>
        <v>921.333333333333</v>
      </c>
      <c r="K64" s="66" t="str">
        <f t="shared" si="9"/>
        <v/>
      </c>
      <c r="L64" s="67">
        <v>7</v>
      </c>
    </row>
    <row r="65" ht="23.1" customHeight="1" spans="1:12">
      <c r="A65" s="61"/>
      <c r="B65" s="62" t="s">
        <v>320</v>
      </c>
      <c r="C65" s="63">
        <v>95</v>
      </c>
      <c r="D65" s="64">
        <v>3800</v>
      </c>
      <c r="E65" s="63"/>
      <c r="F65" s="65">
        <f t="shared" si="10"/>
        <v>6.1315369261477</v>
      </c>
      <c r="G65" s="65">
        <f t="shared" si="12"/>
        <v>5.51696606786427</v>
      </c>
      <c r="H65" s="66" t="str">
        <f t="shared" si="8"/>
        <v/>
      </c>
      <c r="I65" s="65">
        <f t="shared" si="11"/>
        <v>1076.11111111111</v>
      </c>
      <c r="J65" s="65">
        <f t="shared" si="13"/>
        <v>921.333333333333</v>
      </c>
      <c r="K65" s="66" t="str">
        <f t="shared" si="9"/>
        <v/>
      </c>
      <c r="L65" s="67">
        <v>7</v>
      </c>
    </row>
    <row r="66" ht="23.1" customHeight="1" spans="1:12">
      <c r="A66" s="61"/>
      <c r="B66" s="62" t="s">
        <v>310</v>
      </c>
      <c r="C66" s="63">
        <v>95</v>
      </c>
      <c r="D66" s="64">
        <v>3800</v>
      </c>
      <c r="E66" s="63"/>
      <c r="F66" s="65">
        <f t="shared" si="10"/>
        <v>6.1315369261477</v>
      </c>
      <c r="G66" s="65">
        <f t="shared" si="12"/>
        <v>5.51696606786427</v>
      </c>
      <c r="H66" s="66" t="str">
        <f t="shared" ref="H66:H100" si="14">IF(E66="","",($J$11-$H$7+E66)*$J$10/$H$12)</f>
        <v/>
      </c>
      <c r="I66" s="65">
        <f t="shared" si="11"/>
        <v>1076.11111111111</v>
      </c>
      <c r="J66" s="65">
        <f t="shared" si="13"/>
        <v>921.333333333333</v>
      </c>
      <c r="K66" s="66" t="str">
        <f t="shared" si="9"/>
        <v/>
      </c>
      <c r="L66" s="67">
        <v>7</v>
      </c>
    </row>
    <row r="67" ht="23.1" customHeight="1" spans="1:12">
      <c r="A67" s="61"/>
      <c r="B67" s="62" t="s">
        <v>136</v>
      </c>
      <c r="C67" s="63">
        <v>95</v>
      </c>
      <c r="D67" s="64">
        <v>3800</v>
      </c>
      <c r="E67" s="63"/>
      <c r="F67" s="65">
        <f t="shared" si="10"/>
        <v>6.1315369261477</v>
      </c>
      <c r="G67" s="65">
        <f t="shared" si="12"/>
        <v>5.51696606786427</v>
      </c>
      <c r="H67" s="66" t="str">
        <f t="shared" si="14"/>
        <v/>
      </c>
      <c r="I67" s="65">
        <f t="shared" si="11"/>
        <v>1076.11111111111</v>
      </c>
      <c r="J67" s="65">
        <f t="shared" si="13"/>
        <v>921.333333333333</v>
      </c>
      <c r="K67" s="66" t="str">
        <f t="shared" si="9"/>
        <v/>
      </c>
      <c r="L67" s="67">
        <v>7</v>
      </c>
    </row>
    <row r="68" ht="23.1" customHeight="1" spans="1:12">
      <c r="A68" s="61"/>
      <c r="B68" s="62" t="s">
        <v>288</v>
      </c>
      <c r="C68" s="63">
        <v>115</v>
      </c>
      <c r="D68" s="64">
        <v>3800</v>
      </c>
      <c r="E68" s="63"/>
      <c r="F68" s="65">
        <f t="shared" si="10"/>
        <v>6.5315369261477</v>
      </c>
      <c r="G68" s="65">
        <f t="shared" si="12"/>
        <v>5.51696606786427</v>
      </c>
      <c r="H68" s="66" t="str">
        <f t="shared" si="14"/>
        <v/>
      </c>
      <c r="I68" s="65">
        <f t="shared" si="11"/>
        <v>1153.88888888889</v>
      </c>
      <c r="J68" s="65">
        <f t="shared" si="13"/>
        <v>921.333333333333</v>
      </c>
      <c r="K68" s="66" t="str">
        <f t="shared" si="9"/>
        <v/>
      </c>
      <c r="L68" s="67">
        <v>7</v>
      </c>
    </row>
    <row r="69" ht="23.1" customHeight="1" spans="1:12">
      <c r="A69" s="61"/>
      <c r="B69" s="62" t="s">
        <v>250</v>
      </c>
      <c r="C69" s="63">
        <v>115</v>
      </c>
      <c r="D69" s="64">
        <v>3800</v>
      </c>
      <c r="E69" s="63"/>
      <c r="F69" s="65">
        <f t="shared" si="10"/>
        <v>6.5315369261477</v>
      </c>
      <c r="G69" s="65">
        <f t="shared" si="12"/>
        <v>5.51696606786427</v>
      </c>
      <c r="H69" s="66" t="str">
        <f t="shared" si="14"/>
        <v/>
      </c>
      <c r="I69" s="65">
        <f t="shared" si="11"/>
        <v>1153.88888888889</v>
      </c>
      <c r="J69" s="65">
        <f t="shared" si="13"/>
        <v>921.333333333333</v>
      </c>
      <c r="K69" s="66" t="str">
        <f t="shared" ref="K69:K100" si="15">IF(E69="","",($J$11-$H$7+E69)*$J$10/$B$12)</f>
        <v/>
      </c>
      <c r="L69" s="67">
        <v>7</v>
      </c>
    </row>
    <row r="70" ht="23.1" customHeight="1" spans="1:12">
      <c r="A70" s="61"/>
      <c r="B70" s="62" t="s">
        <v>137</v>
      </c>
      <c r="C70" s="63">
        <v>100</v>
      </c>
      <c r="D70" s="64">
        <v>3800</v>
      </c>
      <c r="E70" s="63"/>
      <c r="F70" s="65">
        <f t="shared" si="10"/>
        <v>6.2315369261477</v>
      </c>
      <c r="G70" s="65">
        <f t="shared" si="12"/>
        <v>5.51696606786427</v>
      </c>
      <c r="H70" s="66" t="str">
        <f t="shared" si="14"/>
        <v/>
      </c>
      <c r="I70" s="65">
        <f t="shared" si="11"/>
        <v>1095.55555555556</v>
      </c>
      <c r="J70" s="65">
        <f t="shared" si="13"/>
        <v>921.333333333333</v>
      </c>
      <c r="K70" s="66" t="str">
        <f t="shared" si="15"/>
        <v/>
      </c>
      <c r="L70" s="67">
        <v>7</v>
      </c>
    </row>
    <row r="71" ht="23.1" customHeight="1" spans="1:12">
      <c r="A71" s="61"/>
      <c r="B71" s="62" t="s">
        <v>138</v>
      </c>
      <c r="C71" s="63">
        <v>100</v>
      </c>
      <c r="D71" s="64">
        <v>3800</v>
      </c>
      <c r="E71" s="63"/>
      <c r="F71" s="65">
        <f t="shared" si="10"/>
        <v>6.2315369261477</v>
      </c>
      <c r="G71" s="65">
        <f t="shared" si="12"/>
        <v>5.51696606786427</v>
      </c>
      <c r="H71" s="66" t="str">
        <f t="shared" si="14"/>
        <v/>
      </c>
      <c r="I71" s="65">
        <f t="shared" si="11"/>
        <v>1095.55555555556</v>
      </c>
      <c r="J71" s="65">
        <f t="shared" si="13"/>
        <v>921.333333333333</v>
      </c>
      <c r="K71" s="66" t="str">
        <f t="shared" si="15"/>
        <v/>
      </c>
      <c r="L71" s="67">
        <v>7</v>
      </c>
    </row>
    <row r="72" ht="23.1" customHeight="1" spans="1:12">
      <c r="A72" s="61"/>
      <c r="B72" s="62" t="s">
        <v>222</v>
      </c>
      <c r="C72" s="63">
        <v>100</v>
      </c>
      <c r="D72" s="64">
        <v>3800</v>
      </c>
      <c r="E72" s="63"/>
      <c r="F72" s="65">
        <f t="shared" si="10"/>
        <v>6.2315369261477</v>
      </c>
      <c r="G72" s="65">
        <f t="shared" si="12"/>
        <v>5.51696606786427</v>
      </c>
      <c r="H72" s="66" t="str">
        <f t="shared" si="14"/>
        <v/>
      </c>
      <c r="I72" s="65">
        <f t="shared" si="11"/>
        <v>1095.55555555556</v>
      </c>
      <c r="J72" s="65">
        <f t="shared" si="13"/>
        <v>921.333333333333</v>
      </c>
      <c r="K72" s="66" t="str">
        <f t="shared" si="15"/>
        <v/>
      </c>
      <c r="L72" s="67">
        <v>7</v>
      </c>
    </row>
    <row r="73" ht="23.1" customHeight="1" spans="1:12">
      <c r="A73" s="61"/>
      <c r="B73" s="62" t="s">
        <v>140</v>
      </c>
      <c r="C73" s="63">
        <v>100</v>
      </c>
      <c r="D73" s="64">
        <v>3800</v>
      </c>
      <c r="E73" s="63"/>
      <c r="F73" s="65">
        <f t="shared" si="10"/>
        <v>6.2315369261477</v>
      </c>
      <c r="G73" s="65">
        <f t="shared" si="12"/>
        <v>5.51696606786427</v>
      </c>
      <c r="H73" s="66" t="str">
        <f t="shared" si="14"/>
        <v/>
      </c>
      <c r="I73" s="65">
        <f t="shared" si="11"/>
        <v>1095.55555555556</v>
      </c>
      <c r="J73" s="65">
        <f t="shared" si="13"/>
        <v>921.333333333333</v>
      </c>
      <c r="K73" s="66" t="str">
        <f t="shared" si="15"/>
        <v/>
      </c>
      <c r="L73" s="67"/>
    </row>
    <row r="74" ht="23.1" customHeight="1" spans="1:12">
      <c r="A74" s="61" t="s">
        <v>373</v>
      </c>
      <c r="B74" s="62" t="s">
        <v>207</v>
      </c>
      <c r="C74" s="63">
        <v>115</v>
      </c>
      <c r="D74" s="64">
        <v>4250</v>
      </c>
      <c r="E74" s="63"/>
      <c r="F74" s="65">
        <f t="shared" si="10"/>
        <v>6.5315369261477</v>
      </c>
      <c r="G74" s="65">
        <f t="shared" si="12"/>
        <v>5.7684630738523</v>
      </c>
      <c r="H74" s="66" t="str">
        <f t="shared" si="14"/>
        <v/>
      </c>
      <c r="I74" s="65">
        <f t="shared" si="11"/>
        <v>1153.88888888889</v>
      </c>
      <c r="J74" s="65">
        <f t="shared" si="13"/>
        <v>963.333333333333</v>
      </c>
      <c r="K74" s="66" t="str">
        <f t="shared" si="15"/>
        <v/>
      </c>
      <c r="L74" s="67"/>
    </row>
    <row r="75" ht="23.1" customHeight="1" spans="1:12">
      <c r="A75" s="61"/>
      <c r="B75" s="62" t="s">
        <v>205</v>
      </c>
      <c r="C75" s="63">
        <v>130</v>
      </c>
      <c r="D75" s="64">
        <v>4250</v>
      </c>
      <c r="E75" s="63"/>
      <c r="F75" s="65">
        <f t="shared" si="10"/>
        <v>6.8315369261477</v>
      </c>
      <c r="G75" s="65">
        <f t="shared" si="12"/>
        <v>5.7684630738523</v>
      </c>
      <c r="H75" s="66" t="str">
        <f t="shared" si="14"/>
        <v/>
      </c>
      <c r="I75" s="65">
        <f t="shared" si="11"/>
        <v>1212.22222222222</v>
      </c>
      <c r="J75" s="65">
        <f t="shared" si="13"/>
        <v>963.333333333333</v>
      </c>
      <c r="K75" s="66" t="str">
        <f t="shared" si="15"/>
        <v/>
      </c>
      <c r="L75" s="67"/>
    </row>
    <row r="76" ht="23.1" customHeight="1" spans="1:12">
      <c r="A76" s="61"/>
      <c r="B76" s="62" t="s">
        <v>374</v>
      </c>
      <c r="C76" s="63">
        <v>130</v>
      </c>
      <c r="D76" s="64">
        <v>4250</v>
      </c>
      <c r="E76" s="63"/>
      <c r="F76" s="65">
        <f t="shared" si="10"/>
        <v>6.8315369261477</v>
      </c>
      <c r="G76" s="65">
        <f t="shared" si="12"/>
        <v>5.7684630738523</v>
      </c>
      <c r="H76" s="66" t="str">
        <f t="shared" si="14"/>
        <v/>
      </c>
      <c r="I76" s="65">
        <f t="shared" si="11"/>
        <v>1212.22222222222</v>
      </c>
      <c r="J76" s="65">
        <f t="shared" si="13"/>
        <v>963.333333333333</v>
      </c>
      <c r="K76" s="66" t="str">
        <f t="shared" si="15"/>
        <v/>
      </c>
      <c r="L76" s="67"/>
    </row>
    <row r="77" ht="23.1" customHeight="1" spans="1:12">
      <c r="A77" s="61"/>
      <c r="B77" s="62" t="s">
        <v>126</v>
      </c>
      <c r="C77" s="63">
        <v>130</v>
      </c>
      <c r="D77" s="64">
        <v>4250</v>
      </c>
      <c r="E77" s="63"/>
      <c r="F77" s="65">
        <f t="shared" si="10"/>
        <v>6.8315369261477</v>
      </c>
      <c r="G77" s="65">
        <f t="shared" si="12"/>
        <v>5.7684630738523</v>
      </c>
      <c r="H77" s="66" t="str">
        <f t="shared" si="14"/>
        <v/>
      </c>
      <c r="I77" s="65">
        <f t="shared" si="11"/>
        <v>1212.22222222222</v>
      </c>
      <c r="J77" s="65">
        <f t="shared" si="13"/>
        <v>963.333333333333</v>
      </c>
      <c r="K77" s="66" t="str">
        <f t="shared" si="15"/>
        <v/>
      </c>
      <c r="L77" s="67"/>
    </row>
    <row r="78" ht="23.1" customHeight="1" spans="1:12">
      <c r="A78" s="61"/>
      <c r="B78" s="62" t="s">
        <v>107</v>
      </c>
      <c r="C78" s="63">
        <v>140</v>
      </c>
      <c r="D78" s="64">
        <v>4250</v>
      </c>
      <c r="E78" s="63"/>
      <c r="F78" s="65">
        <f t="shared" ref="F78:F109" si="16">$J$12+(C78*$J$10/$L$10)</f>
        <v>7.0315369261477</v>
      </c>
      <c r="G78" s="65">
        <f t="shared" si="12"/>
        <v>5.7684630738523</v>
      </c>
      <c r="H78" s="66" t="str">
        <f t="shared" si="14"/>
        <v/>
      </c>
      <c r="I78" s="65">
        <f t="shared" ref="I78:I109" si="17">$F$12+(C78*$J$10/$L$12)</f>
        <v>1251.11111111111</v>
      </c>
      <c r="J78" s="65">
        <f t="shared" si="13"/>
        <v>963.333333333333</v>
      </c>
      <c r="K78" s="66" t="str">
        <f t="shared" si="15"/>
        <v/>
      </c>
      <c r="L78" s="67"/>
    </row>
    <row r="79" ht="23.1" customHeight="1" spans="1:12">
      <c r="A79" s="61"/>
      <c r="B79" s="62" t="s">
        <v>290</v>
      </c>
      <c r="C79" s="63">
        <v>140</v>
      </c>
      <c r="D79" s="64">
        <v>4250</v>
      </c>
      <c r="E79" s="63"/>
      <c r="F79" s="65">
        <f t="shared" si="16"/>
        <v>7.0315369261477</v>
      </c>
      <c r="G79" s="65">
        <f t="shared" si="12"/>
        <v>5.7684630738523</v>
      </c>
      <c r="H79" s="66" t="str">
        <f t="shared" si="14"/>
        <v/>
      </c>
      <c r="I79" s="65">
        <f t="shared" si="17"/>
        <v>1251.11111111111</v>
      </c>
      <c r="J79" s="65">
        <f t="shared" si="13"/>
        <v>963.333333333333</v>
      </c>
      <c r="K79" s="66" t="str">
        <f t="shared" si="15"/>
        <v/>
      </c>
      <c r="L79" s="67"/>
    </row>
    <row r="80" ht="23.1" customHeight="1" spans="1:12">
      <c r="A80" s="61"/>
      <c r="B80" s="62" t="s">
        <v>125</v>
      </c>
      <c r="C80" s="63">
        <v>140</v>
      </c>
      <c r="D80" s="64">
        <v>4250</v>
      </c>
      <c r="E80" s="63"/>
      <c r="F80" s="65">
        <f t="shared" si="16"/>
        <v>7.0315369261477</v>
      </c>
      <c r="G80" s="65">
        <f t="shared" si="12"/>
        <v>5.7684630738523</v>
      </c>
      <c r="H80" s="66" t="str">
        <f t="shared" si="14"/>
        <v/>
      </c>
      <c r="I80" s="65">
        <f t="shared" si="17"/>
        <v>1251.11111111111</v>
      </c>
      <c r="J80" s="65">
        <f t="shared" si="13"/>
        <v>963.333333333333</v>
      </c>
      <c r="K80" s="66" t="str">
        <f t="shared" si="15"/>
        <v/>
      </c>
      <c r="L80" s="67"/>
    </row>
    <row r="81" ht="23.1" customHeight="1" spans="1:12">
      <c r="A81" s="61"/>
      <c r="B81" s="62" t="s">
        <v>177</v>
      </c>
      <c r="C81" s="63">
        <v>140</v>
      </c>
      <c r="D81" s="64">
        <v>4250</v>
      </c>
      <c r="E81" s="63"/>
      <c r="F81" s="65">
        <f t="shared" si="16"/>
        <v>7.0315369261477</v>
      </c>
      <c r="G81" s="65">
        <f t="shared" si="12"/>
        <v>5.7684630738523</v>
      </c>
      <c r="H81" s="66" t="str">
        <f t="shared" si="14"/>
        <v/>
      </c>
      <c r="I81" s="65">
        <f t="shared" si="17"/>
        <v>1251.11111111111</v>
      </c>
      <c r="J81" s="65">
        <f t="shared" si="13"/>
        <v>963.333333333333</v>
      </c>
      <c r="K81" s="66" t="str">
        <f t="shared" si="15"/>
        <v/>
      </c>
      <c r="L81" s="67"/>
    </row>
    <row r="82" ht="23.1" customHeight="1" spans="1:12">
      <c r="A82" s="61"/>
      <c r="B82" s="62" t="s">
        <v>211</v>
      </c>
      <c r="C82" s="63">
        <v>130</v>
      </c>
      <c r="D82" s="64">
        <v>4250</v>
      </c>
      <c r="E82" s="63"/>
      <c r="F82" s="65">
        <f t="shared" si="16"/>
        <v>6.8315369261477</v>
      </c>
      <c r="G82" s="65">
        <f t="shared" si="12"/>
        <v>5.7684630738523</v>
      </c>
      <c r="H82" s="66" t="str">
        <f t="shared" si="14"/>
        <v/>
      </c>
      <c r="I82" s="65">
        <f t="shared" si="17"/>
        <v>1212.22222222222</v>
      </c>
      <c r="J82" s="65">
        <f t="shared" si="13"/>
        <v>963.333333333333</v>
      </c>
      <c r="K82" s="66" t="str">
        <f t="shared" si="15"/>
        <v/>
      </c>
      <c r="L82" s="67"/>
    </row>
    <row r="83" ht="23.1" customHeight="1" spans="1:12">
      <c r="A83" s="61"/>
      <c r="B83" s="62" t="s">
        <v>254</v>
      </c>
      <c r="C83" s="63">
        <v>130</v>
      </c>
      <c r="D83" s="64">
        <v>4250</v>
      </c>
      <c r="E83" s="63"/>
      <c r="F83" s="65">
        <f t="shared" si="16"/>
        <v>6.8315369261477</v>
      </c>
      <c r="G83" s="65">
        <f t="shared" si="12"/>
        <v>5.7684630738523</v>
      </c>
      <c r="H83" s="66" t="str">
        <f t="shared" si="14"/>
        <v/>
      </c>
      <c r="I83" s="65">
        <f t="shared" si="17"/>
        <v>1212.22222222222</v>
      </c>
      <c r="J83" s="65">
        <f t="shared" si="13"/>
        <v>963.333333333333</v>
      </c>
      <c r="K83" s="66" t="str">
        <f t="shared" si="15"/>
        <v/>
      </c>
      <c r="L83" s="67"/>
    </row>
    <row r="84" ht="23.1" customHeight="1" spans="1:12">
      <c r="A84" s="61" t="s">
        <v>375</v>
      </c>
      <c r="B84" s="62" t="s">
        <v>123</v>
      </c>
      <c r="C84" s="63">
        <v>100</v>
      </c>
      <c r="D84" s="64">
        <v>3800</v>
      </c>
      <c r="E84" s="63"/>
      <c r="F84" s="65">
        <f t="shared" si="16"/>
        <v>6.2315369261477</v>
      </c>
      <c r="G84" s="65">
        <f t="shared" si="12"/>
        <v>5.51696606786427</v>
      </c>
      <c r="H84" s="66" t="str">
        <f t="shared" si="14"/>
        <v/>
      </c>
      <c r="I84" s="65">
        <f t="shared" si="17"/>
        <v>1095.55555555556</v>
      </c>
      <c r="J84" s="65">
        <f t="shared" si="13"/>
        <v>921.333333333333</v>
      </c>
      <c r="K84" s="66" t="str">
        <f t="shared" si="15"/>
        <v/>
      </c>
      <c r="L84" s="67">
        <v>7</v>
      </c>
    </row>
    <row r="85" ht="23.1" customHeight="1" spans="1:12">
      <c r="A85" s="61"/>
      <c r="B85" s="62" t="s">
        <v>124</v>
      </c>
      <c r="C85" s="63">
        <v>100</v>
      </c>
      <c r="D85" s="64">
        <v>3800</v>
      </c>
      <c r="E85" s="63"/>
      <c r="F85" s="65">
        <f t="shared" si="16"/>
        <v>6.2315369261477</v>
      </c>
      <c r="G85" s="65">
        <f t="shared" si="12"/>
        <v>5.51696606786427</v>
      </c>
      <c r="H85" s="66" t="str">
        <f t="shared" si="14"/>
        <v/>
      </c>
      <c r="I85" s="65">
        <f t="shared" si="17"/>
        <v>1095.55555555556</v>
      </c>
      <c r="J85" s="65">
        <f t="shared" si="13"/>
        <v>921.333333333333</v>
      </c>
      <c r="K85" s="66" t="str">
        <f t="shared" si="15"/>
        <v/>
      </c>
      <c r="L85" s="67">
        <v>7</v>
      </c>
    </row>
    <row r="86" ht="23.1" customHeight="1" spans="1:12">
      <c r="A86" s="61"/>
      <c r="B86" s="62" t="s">
        <v>232</v>
      </c>
      <c r="C86" s="63">
        <v>100</v>
      </c>
      <c r="D86" s="64">
        <v>3800</v>
      </c>
      <c r="E86" s="63"/>
      <c r="F86" s="65">
        <f t="shared" si="16"/>
        <v>6.2315369261477</v>
      </c>
      <c r="G86" s="65">
        <f t="shared" si="12"/>
        <v>5.51696606786427</v>
      </c>
      <c r="H86" s="66" t="str">
        <f t="shared" si="14"/>
        <v/>
      </c>
      <c r="I86" s="65">
        <f t="shared" si="17"/>
        <v>1095.55555555556</v>
      </c>
      <c r="J86" s="65">
        <f t="shared" si="13"/>
        <v>921.333333333333</v>
      </c>
      <c r="K86" s="66" t="str">
        <f t="shared" si="15"/>
        <v/>
      </c>
      <c r="L86" s="67">
        <v>7</v>
      </c>
    </row>
    <row r="87" ht="23.1" customHeight="1" spans="1:12">
      <c r="A87" s="61"/>
      <c r="B87" s="62" t="s">
        <v>105</v>
      </c>
      <c r="C87" s="63">
        <v>100</v>
      </c>
      <c r="D87" s="64">
        <v>3800</v>
      </c>
      <c r="E87" s="63"/>
      <c r="F87" s="65">
        <f t="shared" si="16"/>
        <v>6.2315369261477</v>
      </c>
      <c r="G87" s="65">
        <f t="shared" si="12"/>
        <v>5.51696606786427</v>
      </c>
      <c r="H87" s="66" t="str">
        <f t="shared" si="14"/>
        <v/>
      </c>
      <c r="I87" s="65">
        <f t="shared" si="17"/>
        <v>1095.55555555556</v>
      </c>
      <c r="J87" s="65">
        <f t="shared" si="13"/>
        <v>921.333333333333</v>
      </c>
      <c r="K87" s="66" t="str">
        <f t="shared" si="15"/>
        <v/>
      </c>
      <c r="L87" s="67">
        <v>7</v>
      </c>
    </row>
    <row r="88" ht="23.1" customHeight="1" spans="1:12">
      <c r="A88" s="61"/>
      <c r="B88" s="62" t="s">
        <v>108</v>
      </c>
      <c r="C88" s="63">
        <v>100</v>
      </c>
      <c r="D88" s="64">
        <v>3800</v>
      </c>
      <c r="E88" s="63"/>
      <c r="F88" s="65">
        <f t="shared" si="16"/>
        <v>6.2315369261477</v>
      </c>
      <c r="G88" s="65">
        <f t="shared" si="12"/>
        <v>5.51696606786427</v>
      </c>
      <c r="H88" s="66" t="str">
        <f t="shared" si="14"/>
        <v/>
      </c>
      <c r="I88" s="65">
        <f t="shared" si="17"/>
        <v>1095.55555555556</v>
      </c>
      <c r="J88" s="65">
        <f t="shared" si="13"/>
        <v>921.333333333333</v>
      </c>
      <c r="K88" s="66" t="str">
        <f t="shared" si="15"/>
        <v/>
      </c>
      <c r="L88" s="67">
        <v>7</v>
      </c>
    </row>
    <row r="89" ht="23.1" customHeight="1" spans="1:12">
      <c r="A89" s="61"/>
      <c r="B89" s="62" t="s">
        <v>217</v>
      </c>
      <c r="C89" s="63">
        <v>100</v>
      </c>
      <c r="D89" s="64">
        <v>3800</v>
      </c>
      <c r="E89" s="63"/>
      <c r="F89" s="65">
        <f t="shared" si="16"/>
        <v>6.2315369261477</v>
      </c>
      <c r="G89" s="65">
        <f t="shared" si="12"/>
        <v>5.51696606786427</v>
      </c>
      <c r="H89" s="66" t="str">
        <f t="shared" si="14"/>
        <v/>
      </c>
      <c r="I89" s="65">
        <f t="shared" si="17"/>
        <v>1095.55555555556</v>
      </c>
      <c r="J89" s="65">
        <f t="shared" si="13"/>
        <v>921.333333333333</v>
      </c>
      <c r="K89" s="66" t="str">
        <f t="shared" si="15"/>
        <v/>
      </c>
      <c r="L89" s="67">
        <v>7</v>
      </c>
    </row>
    <row r="90" ht="23.1" customHeight="1" spans="1:12">
      <c r="A90" s="61"/>
      <c r="B90" s="62" t="s">
        <v>119</v>
      </c>
      <c r="C90" s="63">
        <v>120</v>
      </c>
      <c r="D90" s="64">
        <v>3800</v>
      </c>
      <c r="E90" s="63"/>
      <c r="F90" s="65">
        <f t="shared" si="16"/>
        <v>6.6315369261477</v>
      </c>
      <c r="G90" s="65">
        <f t="shared" si="12"/>
        <v>5.51696606786427</v>
      </c>
      <c r="H90" s="66" t="str">
        <f t="shared" si="14"/>
        <v/>
      </c>
      <c r="I90" s="65">
        <f t="shared" si="17"/>
        <v>1173.33333333333</v>
      </c>
      <c r="J90" s="65">
        <f t="shared" si="13"/>
        <v>921.333333333333</v>
      </c>
      <c r="K90" s="66" t="str">
        <f t="shared" si="15"/>
        <v/>
      </c>
      <c r="L90" s="67">
        <v>7</v>
      </c>
    </row>
    <row r="91" ht="23.1" customHeight="1" spans="1:12">
      <c r="A91" s="61" t="s">
        <v>376</v>
      </c>
      <c r="B91" s="62" t="s">
        <v>106</v>
      </c>
      <c r="C91" s="63">
        <v>130</v>
      </c>
      <c r="D91" s="64">
        <v>4300</v>
      </c>
      <c r="E91" s="63"/>
      <c r="F91" s="65">
        <f t="shared" si="16"/>
        <v>6.8315369261477</v>
      </c>
      <c r="G91" s="65">
        <f t="shared" si="12"/>
        <v>5.79640718562874</v>
      </c>
      <c r="H91" s="66" t="str">
        <f t="shared" si="14"/>
        <v/>
      </c>
      <c r="I91" s="65">
        <f t="shared" si="17"/>
        <v>1212.22222222222</v>
      </c>
      <c r="J91" s="65">
        <f t="shared" si="13"/>
        <v>968</v>
      </c>
      <c r="K91" s="66" t="str">
        <f t="shared" si="15"/>
        <v/>
      </c>
      <c r="L91" s="67"/>
    </row>
    <row r="92" ht="23.1" customHeight="1" spans="1:12">
      <c r="A92" s="61"/>
      <c r="B92" s="62" t="s">
        <v>233</v>
      </c>
      <c r="C92" s="63">
        <v>130</v>
      </c>
      <c r="D92" s="64">
        <v>4300</v>
      </c>
      <c r="E92" s="63"/>
      <c r="F92" s="65">
        <f t="shared" si="16"/>
        <v>6.8315369261477</v>
      </c>
      <c r="G92" s="65">
        <f t="shared" si="12"/>
        <v>5.79640718562874</v>
      </c>
      <c r="H92" s="66" t="str">
        <f t="shared" si="14"/>
        <v/>
      </c>
      <c r="I92" s="65">
        <f t="shared" si="17"/>
        <v>1212.22222222222</v>
      </c>
      <c r="J92" s="65">
        <f t="shared" si="13"/>
        <v>968</v>
      </c>
      <c r="K92" s="66" t="str">
        <f t="shared" si="15"/>
        <v/>
      </c>
      <c r="L92" s="67"/>
    </row>
    <row r="93" ht="23.1" customHeight="1" spans="1:12">
      <c r="A93" s="61"/>
      <c r="B93" s="62" t="s">
        <v>234</v>
      </c>
      <c r="C93" s="63">
        <v>130</v>
      </c>
      <c r="D93" s="64">
        <v>4300</v>
      </c>
      <c r="E93" s="63"/>
      <c r="F93" s="65">
        <f t="shared" si="16"/>
        <v>6.8315369261477</v>
      </c>
      <c r="G93" s="65">
        <f t="shared" ref="G93:G100" si="18">IF(D93="","",($J$11-$H$7+D93)*$J$10/$H$12)</f>
        <v>5.79640718562874</v>
      </c>
      <c r="H93" s="66" t="str">
        <f t="shared" si="14"/>
        <v/>
      </c>
      <c r="I93" s="65">
        <f t="shared" si="17"/>
        <v>1212.22222222222</v>
      </c>
      <c r="J93" s="65">
        <f t="shared" ref="J93:J100" si="19">IF(D93="","",($J$11-$H$7+D93)*$J$10/$B$12)</f>
        <v>968</v>
      </c>
      <c r="K93" s="66" t="str">
        <f t="shared" si="15"/>
        <v/>
      </c>
      <c r="L93" s="67"/>
    </row>
    <row r="94" ht="23.1" customHeight="1" spans="1:12">
      <c r="A94" s="61"/>
      <c r="B94" s="62" t="s">
        <v>235</v>
      </c>
      <c r="C94" s="63">
        <v>130</v>
      </c>
      <c r="D94" s="64">
        <v>4300</v>
      </c>
      <c r="E94" s="63"/>
      <c r="F94" s="65">
        <f t="shared" si="16"/>
        <v>6.8315369261477</v>
      </c>
      <c r="G94" s="65">
        <f t="shared" si="18"/>
        <v>5.79640718562874</v>
      </c>
      <c r="H94" s="66" t="str">
        <f t="shared" si="14"/>
        <v/>
      </c>
      <c r="I94" s="65">
        <f t="shared" si="17"/>
        <v>1212.22222222222</v>
      </c>
      <c r="J94" s="65">
        <f t="shared" si="19"/>
        <v>968</v>
      </c>
      <c r="K94" s="66" t="str">
        <f t="shared" si="15"/>
        <v/>
      </c>
      <c r="L94" s="67"/>
    </row>
    <row r="95" ht="23.1" customHeight="1" spans="1:12">
      <c r="A95" s="61"/>
      <c r="B95" s="62" t="s">
        <v>197</v>
      </c>
      <c r="C95" s="63">
        <v>130</v>
      </c>
      <c r="D95" s="64">
        <v>4300</v>
      </c>
      <c r="E95" s="63"/>
      <c r="F95" s="65">
        <f t="shared" si="16"/>
        <v>6.8315369261477</v>
      </c>
      <c r="G95" s="65">
        <f t="shared" si="18"/>
        <v>5.79640718562874</v>
      </c>
      <c r="H95" s="66" t="str">
        <f t="shared" si="14"/>
        <v/>
      </c>
      <c r="I95" s="65">
        <f t="shared" si="17"/>
        <v>1212.22222222222</v>
      </c>
      <c r="J95" s="65">
        <f t="shared" si="19"/>
        <v>968</v>
      </c>
      <c r="K95" s="66" t="str">
        <f t="shared" si="15"/>
        <v/>
      </c>
      <c r="L95" s="67"/>
    </row>
    <row r="96" ht="23.1" customHeight="1" spans="1:12">
      <c r="A96" s="61"/>
      <c r="B96" s="62" t="s">
        <v>118</v>
      </c>
      <c r="C96" s="63">
        <v>130</v>
      </c>
      <c r="D96" s="64">
        <v>4300</v>
      </c>
      <c r="E96" s="63"/>
      <c r="F96" s="65">
        <f t="shared" si="16"/>
        <v>6.8315369261477</v>
      </c>
      <c r="G96" s="65">
        <f t="shared" si="18"/>
        <v>5.79640718562874</v>
      </c>
      <c r="H96" s="66" t="str">
        <f t="shared" si="14"/>
        <v/>
      </c>
      <c r="I96" s="65">
        <f t="shared" si="17"/>
        <v>1212.22222222222</v>
      </c>
      <c r="J96" s="65">
        <f t="shared" si="19"/>
        <v>968</v>
      </c>
      <c r="K96" s="66" t="str">
        <f t="shared" si="15"/>
        <v/>
      </c>
      <c r="L96" s="67"/>
    </row>
    <row r="97" ht="23.1" customHeight="1" spans="1:12">
      <c r="A97" s="61"/>
      <c r="B97" s="62" t="s">
        <v>120</v>
      </c>
      <c r="C97" s="63">
        <v>130</v>
      </c>
      <c r="D97" s="64">
        <v>4300</v>
      </c>
      <c r="E97" s="63"/>
      <c r="F97" s="65">
        <f t="shared" si="16"/>
        <v>6.8315369261477</v>
      </c>
      <c r="G97" s="65">
        <f t="shared" si="18"/>
        <v>5.79640718562874</v>
      </c>
      <c r="H97" s="66" t="str">
        <f t="shared" si="14"/>
        <v/>
      </c>
      <c r="I97" s="65">
        <f t="shared" si="17"/>
        <v>1212.22222222222</v>
      </c>
      <c r="J97" s="65">
        <f t="shared" si="19"/>
        <v>968</v>
      </c>
      <c r="K97" s="66" t="str">
        <f t="shared" si="15"/>
        <v/>
      </c>
      <c r="L97" s="67"/>
    </row>
    <row r="98" ht="23.1" customHeight="1" spans="1:12">
      <c r="A98" s="61"/>
      <c r="B98" s="62" t="s">
        <v>236</v>
      </c>
      <c r="C98" s="63">
        <v>130</v>
      </c>
      <c r="D98" s="64">
        <v>4300</v>
      </c>
      <c r="E98" s="63"/>
      <c r="F98" s="65">
        <f t="shared" si="16"/>
        <v>6.8315369261477</v>
      </c>
      <c r="G98" s="65">
        <f t="shared" si="18"/>
        <v>5.79640718562874</v>
      </c>
      <c r="H98" s="66" t="str">
        <f t="shared" si="14"/>
        <v/>
      </c>
      <c r="I98" s="65">
        <f t="shared" si="17"/>
        <v>1212.22222222222</v>
      </c>
      <c r="J98" s="65">
        <f t="shared" si="19"/>
        <v>968</v>
      </c>
      <c r="K98" s="66" t="str">
        <f t="shared" si="15"/>
        <v/>
      </c>
      <c r="L98" s="67"/>
    </row>
    <row r="99" ht="23.1" customHeight="1" spans="1:12">
      <c r="A99" s="61"/>
      <c r="B99" s="62" t="s">
        <v>176</v>
      </c>
      <c r="C99" s="63">
        <v>130</v>
      </c>
      <c r="D99" s="64">
        <v>4300</v>
      </c>
      <c r="E99" s="63"/>
      <c r="F99" s="65">
        <f t="shared" si="16"/>
        <v>6.8315369261477</v>
      </c>
      <c r="G99" s="65">
        <f t="shared" si="18"/>
        <v>5.79640718562874</v>
      </c>
      <c r="H99" s="66" t="str">
        <f t="shared" si="14"/>
        <v/>
      </c>
      <c r="I99" s="65">
        <f t="shared" si="17"/>
        <v>1212.22222222222</v>
      </c>
      <c r="J99" s="65">
        <f t="shared" si="19"/>
        <v>968</v>
      </c>
      <c r="K99" s="66" t="str">
        <f t="shared" si="15"/>
        <v/>
      </c>
      <c r="L99" s="67"/>
    </row>
    <row r="100" ht="23.1" customHeight="1" spans="1:12">
      <c r="A100" s="61"/>
      <c r="B100" s="62" t="s">
        <v>129</v>
      </c>
      <c r="C100" s="63">
        <v>135</v>
      </c>
      <c r="D100" s="64">
        <v>4300</v>
      </c>
      <c r="E100" s="63"/>
      <c r="F100" s="65">
        <f t="shared" si="16"/>
        <v>6.9315369261477</v>
      </c>
      <c r="G100" s="65">
        <f t="shared" si="18"/>
        <v>5.79640718562874</v>
      </c>
      <c r="H100" s="66" t="str">
        <f t="shared" si="14"/>
        <v/>
      </c>
      <c r="I100" s="65">
        <f t="shared" si="17"/>
        <v>1231.66666666667</v>
      </c>
      <c r="J100" s="65">
        <f t="shared" si="19"/>
        <v>968</v>
      </c>
      <c r="K100" s="66" t="str">
        <f t="shared" si="15"/>
        <v/>
      </c>
      <c r="L100" s="67"/>
    </row>
    <row r="101" ht="23.1" customHeight="1" spans="1:12">
      <c r="A101" s="61"/>
      <c r="B101" s="62" t="s">
        <v>377</v>
      </c>
      <c r="C101" s="63">
        <v>150</v>
      </c>
      <c r="D101" s="64">
        <v>4300</v>
      </c>
      <c r="E101" s="63"/>
      <c r="F101" s="65">
        <f t="shared" si="16"/>
        <v>7.2315369261477</v>
      </c>
      <c r="G101" s="65"/>
      <c r="H101" s="66"/>
      <c r="I101" s="65">
        <f t="shared" si="17"/>
        <v>1290</v>
      </c>
      <c r="J101" s="65"/>
      <c r="K101" s="66"/>
      <c r="L101" s="67"/>
    </row>
    <row r="102" ht="23.1" customHeight="1" spans="1:12">
      <c r="A102" s="61" t="s">
        <v>378</v>
      </c>
      <c r="B102" s="62" t="s">
        <v>121</v>
      </c>
      <c r="C102" s="63">
        <v>180</v>
      </c>
      <c r="D102" s="64">
        <v>5750</v>
      </c>
      <c r="E102" s="63"/>
      <c r="F102" s="65">
        <f t="shared" si="16"/>
        <v>7.8315369261477</v>
      </c>
      <c r="G102" s="65">
        <f t="shared" ref="G102:G138" si="20">IF(D102="","",($J$11-$H$7+D102)*$J$10/$H$12)</f>
        <v>6.60678642714571</v>
      </c>
      <c r="H102" s="66" t="str">
        <f t="shared" ref="H102:H138" si="21">IF(E102="","",($J$11-$H$7+E102)*$J$10/$H$12)</f>
        <v/>
      </c>
      <c r="I102" s="65">
        <f t="shared" si="17"/>
        <v>1406.66666666667</v>
      </c>
      <c r="J102" s="65"/>
      <c r="K102" s="66"/>
      <c r="L102" s="67"/>
    </row>
    <row r="103" ht="23.1" customHeight="1" spans="1:12">
      <c r="A103" s="61"/>
      <c r="B103" s="62" t="s">
        <v>122</v>
      </c>
      <c r="C103" s="63">
        <v>180</v>
      </c>
      <c r="D103" s="64">
        <v>5750</v>
      </c>
      <c r="E103" s="63"/>
      <c r="F103" s="65">
        <f t="shared" si="16"/>
        <v>7.8315369261477</v>
      </c>
      <c r="G103" s="65">
        <f t="shared" si="20"/>
        <v>6.60678642714571</v>
      </c>
      <c r="H103" s="66" t="str">
        <f t="shared" si="21"/>
        <v/>
      </c>
      <c r="I103" s="65">
        <f t="shared" si="17"/>
        <v>1406.66666666667</v>
      </c>
      <c r="J103" s="65"/>
      <c r="K103" s="66"/>
      <c r="L103" s="67"/>
    </row>
    <row r="104" ht="23.1" customHeight="1" spans="1:12">
      <c r="A104" s="61"/>
      <c r="B104" s="62" t="s">
        <v>208</v>
      </c>
      <c r="C104" s="63">
        <v>180</v>
      </c>
      <c r="D104" s="64">
        <v>5750</v>
      </c>
      <c r="E104" s="63"/>
      <c r="F104" s="65">
        <f t="shared" si="16"/>
        <v>7.8315369261477</v>
      </c>
      <c r="G104" s="65">
        <f t="shared" si="20"/>
        <v>6.60678642714571</v>
      </c>
      <c r="H104" s="66" t="str">
        <f t="shared" si="21"/>
        <v/>
      </c>
      <c r="I104" s="65">
        <f t="shared" si="17"/>
        <v>1406.66666666667</v>
      </c>
      <c r="J104" s="65">
        <f t="shared" ref="J104:J138" si="22">IF(D104="","",($J$11-$H$7+D104)*$J$10/$B$12)</f>
        <v>1103.33333333333</v>
      </c>
      <c r="K104" s="66" t="str">
        <f t="shared" ref="K104:K138" si="23">IF(E104="","",($J$11-$H$7+E104)*$J$10/$B$12)</f>
        <v/>
      </c>
      <c r="L104" s="67"/>
    </row>
    <row r="105" ht="23.1" customHeight="1" spans="1:12">
      <c r="A105" s="61"/>
      <c r="B105" s="62" t="s">
        <v>209</v>
      </c>
      <c r="C105" s="63">
        <v>210</v>
      </c>
      <c r="D105" s="64">
        <v>5750</v>
      </c>
      <c r="E105" s="63"/>
      <c r="F105" s="65">
        <f t="shared" si="16"/>
        <v>8.4315369261477</v>
      </c>
      <c r="G105" s="65">
        <f t="shared" si="20"/>
        <v>6.60678642714571</v>
      </c>
      <c r="H105" s="66" t="str">
        <f t="shared" si="21"/>
        <v/>
      </c>
      <c r="I105" s="65">
        <f t="shared" si="17"/>
        <v>1523.33333333333</v>
      </c>
      <c r="J105" s="65">
        <f t="shared" si="22"/>
        <v>1103.33333333333</v>
      </c>
      <c r="K105" s="66" t="str">
        <f t="shared" si="23"/>
        <v/>
      </c>
      <c r="L105" s="67"/>
    </row>
    <row r="106" ht="15.75" spans="1:12">
      <c r="A106" s="61"/>
      <c r="B106" s="62" t="s">
        <v>201</v>
      </c>
      <c r="C106" s="63">
        <v>210</v>
      </c>
      <c r="D106" s="64">
        <v>5750</v>
      </c>
      <c r="E106" s="63"/>
      <c r="F106" s="65">
        <f t="shared" si="16"/>
        <v>8.4315369261477</v>
      </c>
      <c r="G106" s="65">
        <f t="shared" si="20"/>
        <v>6.60678642714571</v>
      </c>
      <c r="H106" s="66" t="str">
        <f t="shared" si="21"/>
        <v/>
      </c>
      <c r="I106" s="65">
        <f t="shared" si="17"/>
        <v>1523.33333333333</v>
      </c>
      <c r="J106" s="65">
        <f t="shared" si="22"/>
        <v>1103.33333333333</v>
      </c>
      <c r="K106" s="66" t="str">
        <f t="shared" si="23"/>
        <v/>
      </c>
      <c r="L106" s="67"/>
    </row>
    <row r="107" ht="15.75" spans="1:12">
      <c r="A107" s="61"/>
      <c r="B107" s="62" t="s">
        <v>204</v>
      </c>
      <c r="C107" s="63">
        <v>210</v>
      </c>
      <c r="D107" s="64">
        <v>5750</v>
      </c>
      <c r="E107" s="63"/>
      <c r="F107" s="65">
        <f t="shared" si="16"/>
        <v>8.4315369261477</v>
      </c>
      <c r="G107" s="65">
        <f t="shared" si="20"/>
        <v>6.60678642714571</v>
      </c>
      <c r="H107" s="66" t="str">
        <f t="shared" si="21"/>
        <v/>
      </c>
      <c r="I107" s="65">
        <f t="shared" si="17"/>
        <v>1523.33333333333</v>
      </c>
      <c r="J107" s="65">
        <f t="shared" si="22"/>
        <v>1103.33333333333</v>
      </c>
      <c r="K107" s="66" t="str">
        <f t="shared" si="23"/>
        <v/>
      </c>
      <c r="L107" s="67"/>
    </row>
    <row r="108" ht="15.75" spans="1:12">
      <c r="A108" s="61"/>
      <c r="B108" s="62" t="s">
        <v>210</v>
      </c>
      <c r="C108" s="63">
        <v>220</v>
      </c>
      <c r="D108" s="64">
        <v>5750</v>
      </c>
      <c r="E108" s="63"/>
      <c r="F108" s="65">
        <f t="shared" si="16"/>
        <v>8.6315369261477</v>
      </c>
      <c r="G108" s="65">
        <f t="shared" si="20"/>
        <v>6.60678642714571</v>
      </c>
      <c r="H108" s="66" t="str">
        <f t="shared" si="21"/>
        <v/>
      </c>
      <c r="I108" s="65">
        <f t="shared" si="17"/>
        <v>1562.22222222222</v>
      </c>
      <c r="J108" s="65">
        <f t="shared" si="22"/>
        <v>1103.33333333333</v>
      </c>
      <c r="K108" s="66" t="str">
        <f t="shared" si="23"/>
        <v/>
      </c>
      <c r="L108" s="67"/>
    </row>
    <row r="109" ht="15.75" spans="1:12">
      <c r="A109" s="61" t="s">
        <v>379</v>
      </c>
      <c r="B109" s="62" t="s">
        <v>213</v>
      </c>
      <c r="C109" s="63">
        <v>120</v>
      </c>
      <c r="D109" s="64">
        <v>4950</v>
      </c>
      <c r="E109" s="63"/>
      <c r="F109" s="65">
        <f t="shared" si="16"/>
        <v>6.6315369261477</v>
      </c>
      <c r="G109" s="65">
        <f t="shared" si="20"/>
        <v>6.15968063872255</v>
      </c>
      <c r="H109" s="66" t="str">
        <f t="shared" si="21"/>
        <v/>
      </c>
      <c r="I109" s="65">
        <f t="shared" si="17"/>
        <v>1173.33333333333</v>
      </c>
      <c r="J109" s="65">
        <f t="shared" si="22"/>
        <v>1028.66666666667</v>
      </c>
      <c r="K109" s="66" t="str">
        <f t="shared" si="23"/>
        <v/>
      </c>
      <c r="L109" s="67"/>
    </row>
    <row r="110" ht="15.75" spans="1:12">
      <c r="A110" s="61"/>
      <c r="B110" s="62" t="s">
        <v>266</v>
      </c>
      <c r="C110" s="63">
        <v>120</v>
      </c>
      <c r="D110" s="64">
        <v>4950</v>
      </c>
      <c r="E110" s="63"/>
      <c r="F110" s="65">
        <f t="shared" ref="F110:F133" si="24">$J$12+(C110*$J$10/$L$10)</f>
        <v>6.6315369261477</v>
      </c>
      <c r="G110" s="65">
        <f t="shared" si="20"/>
        <v>6.15968063872255</v>
      </c>
      <c r="H110" s="66" t="str">
        <f t="shared" si="21"/>
        <v/>
      </c>
      <c r="I110" s="65">
        <f t="shared" ref="I110:I138" si="25">$F$12+(C110*$J$10/$L$12)</f>
        <v>1173.33333333333</v>
      </c>
      <c r="J110" s="65">
        <f t="shared" si="22"/>
        <v>1028.66666666667</v>
      </c>
      <c r="K110" s="66" t="str">
        <f t="shared" si="23"/>
        <v/>
      </c>
      <c r="L110" s="67"/>
    </row>
    <row r="111" ht="15.75" spans="1:12">
      <c r="A111" s="61"/>
      <c r="B111" s="62" t="s">
        <v>214</v>
      </c>
      <c r="C111" s="63">
        <v>125</v>
      </c>
      <c r="D111" s="64">
        <v>4950</v>
      </c>
      <c r="E111" s="63"/>
      <c r="F111" s="65">
        <f t="shared" si="24"/>
        <v>6.7315369261477</v>
      </c>
      <c r="G111" s="65">
        <f t="shared" si="20"/>
        <v>6.15968063872255</v>
      </c>
      <c r="H111" s="66" t="str">
        <f t="shared" si="21"/>
        <v/>
      </c>
      <c r="I111" s="65">
        <f t="shared" si="25"/>
        <v>1192.77777777778</v>
      </c>
      <c r="J111" s="65">
        <f t="shared" si="22"/>
        <v>1028.66666666667</v>
      </c>
      <c r="K111" s="66" t="str">
        <f t="shared" si="23"/>
        <v/>
      </c>
      <c r="L111" s="67"/>
    </row>
    <row r="112" ht="15.75" spans="1:12">
      <c r="A112" s="61"/>
      <c r="B112" s="62" t="s">
        <v>248</v>
      </c>
      <c r="C112" s="63">
        <v>125</v>
      </c>
      <c r="D112" s="64">
        <v>4950</v>
      </c>
      <c r="E112" s="63"/>
      <c r="F112" s="65">
        <f t="shared" si="24"/>
        <v>6.7315369261477</v>
      </c>
      <c r="G112" s="65">
        <f t="shared" si="20"/>
        <v>6.15968063872255</v>
      </c>
      <c r="H112" s="66" t="str">
        <f t="shared" si="21"/>
        <v/>
      </c>
      <c r="I112" s="65">
        <f t="shared" si="25"/>
        <v>1192.77777777778</v>
      </c>
      <c r="J112" s="65">
        <f t="shared" si="22"/>
        <v>1028.66666666667</v>
      </c>
      <c r="K112" s="66" t="str">
        <f t="shared" si="23"/>
        <v/>
      </c>
      <c r="L112" s="67"/>
    </row>
    <row r="113" ht="15.75" spans="1:12">
      <c r="A113" s="61"/>
      <c r="B113" s="62" t="s">
        <v>141</v>
      </c>
      <c r="C113" s="63">
        <v>125</v>
      </c>
      <c r="D113" s="64">
        <v>4950</v>
      </c>
      <c r="E113" s="63"/>
      <c r="F113" s="65">
        <f t="shared" si="24"/>
        <v>6.7315369261477</v>
      </c>
      <c r="G113" s="65">
        <f t="shared" si="20"/>
        <v>6.15968063872255</v>
      </c>
      <c r="H113" s="66" t="str">
        <f t="shared" si="21"/>
        <v/>
      </c>
      <c r="I113" s="65">
        <f t="shared" si="25"/>
        <v>1192.77777777778</v>
      </c>
      <c r="J113" s="65">
        <f t="shared" si="22"/>
        <v>1028.66666666667</v>
      </c>
      <c r="K113" s="66" t="str">
        <f t="shared" si="23"/>
        <v/>
      </c>
      <c r="L113" s="67"/>
    </row>
    <row r="114" ht="15.75" spans="1:12">
      <c r="A114" s="61"/>
      <c r="B114" s="62" t="s">
        <v>215</v>
      </c>
      <c r="C114" s="63">
        <v>135</v>
      </c>
      <c r="D114" s="64">
        <v>4950</v>
      </c>
      <c r="E114" s="63"/>
      <c r="F114" s="65">
        <f t="shared" si="24"/>
        <v>6.9315369261477</v>
      </c>
      <c r="G114" s="65">
        <f t="shared" si="20"/>
        <v>6.15968063872255</v>
      </c>
      <c r="H114" s="66" t="str">
        <f t="shared" si="21"/>
        <v/>
      </c>
      <c r="I114" s="65">
        <f t="shared" si="25"/>
        <v>1231.66666666667</v>
      </c>
      <c r="J114" s="65">
        <f t="shared" si="22"/>
        <v>1028.66666666667</v>
      </c>
      <c r="K114" s="66" t="str">
        <f t="shared" si="23"/>
        <v/>
      </c>
      <c r="L114" s="67"/>
    </row>
    <row r="115" ht="15.75" spans="1:12">
      <c r="A115" s="61" t="s">
        <v>380</v>
      </c>
      <c r="B115" s="62" t="s">
        <v>142</v>
      </c>
      <c r="C115" s="63">
        <v>170</v>
      </c>
      <c r="D115" s="64">
        <v>6500</v>
      </c>
      <c r="E115" s="63"/>
      <c r="F115" s="65">
        <f t="shared" si="24"/>
        <v>7.6315369261477</v>
      </c>
      <c r="G115" s="65">
        <f t="shared" si="20"/>
        <v>7.02594810379242</v>
      </c>
      <c r="H115" s="66" t="str">
        <f t="shared" si="21"/>
        <v/>
      </c>
      <c r="I115" s="65">
        <f t="shared" si="25"/>
        <v>1367.77777777778</v>
      </c>
      <c r="J115" s="65">
        <f t="shared" si="22"/>
        <v>1173.33333333333</v>
      </c>
      <c r="K115" s="66" t="str">
        <f t="shared" si="23"/>
        <v/>
      </c>
      <c r="L115" s="67"/>
    </row>
    <row r="116" ht="15.75" spans="1:12">
      <c r="A116" s="61"/>
      <c r="B116" s="62" t="s">
        <v>132</v>
      </c>
      <c r="C116" s="63">
        <v>170</v>
      </c>
      <c r="D116" s="64">
        <v>6500</v>
      </c>
      <c r="E116" s="63"/>
      <c r="F116" s="65">
        <f t="shared" si="24"/>
        <v>7.6315369261477</v>
      </c>
      <c r="G116" s="65">
        <f t="shared" si="20"/>
        <v>7.02594810379242</v>
      </c>
      <c r="H116" s="66" t="str">
        <f t="shared" si="21"/>
        <v/>
      </c>
      <c r="I116" s="65">
        <f t="shared" si="25"/>
        <v>1367.77777777778</v>
      </c>
      <c r="J116" s="65">
        <f t="shared" si="22"/>
        <v>1173.33333333333</v>
      </c>
      <c r="K116" s="66" t="str">
        <f t="shared" si="23"/>
        <v/>
      </c>
      <c r="L116" s="67"/>
    </row>
    <row r="117" ht="15.75" spans="1:12">
      <c r="A117" s="61"/>
      <c r="B117" s="62" t="s">
        <v>133</v>
      </c>
      <c r="C117" s="63">
        <v>170</v>
      </c>
      <c r="D117" s="64">
        <v>6500</v>
      </c>
      <c r="E117" s="63"/>
      <c r="F117" s="65">
        <f t="shared" si="24"/>
        <v>7.6315369261477</v>
      </c>
      <c r="G117" s="65">
        <f t="shared" si="20"/>
        <v>7.02594810379242</v>
      </c>
      <c r="H117" s="66" t="str">
        <f t="shared" si="21"/>
        <v/>
      </c>
      <c r="I117" s="65">
        <f t="shared" si="25"/>
        <v>1367.77777777778</v>
      </c>
      <c r="J117" s="65">
        <f t="shared" si="22"/>
        <v>1173.33333333333</v>
      </c>
      <c r="K117" s="66" t="str">
        <f t="shared" si="23"/>
        <v/>
      </c>
      <c r="L117" s="67"/>
    </row>
    <row r="118" ht="15.75" spans="1:12">
      <c r="A118" s="61"/>
      <c r="B118" s="62" t="s">
        <v>134</v>
      </c>
      <c r="C118" s="63">
        <v>170</v>
      </c>
      <c r="D118" s="64">
        <v>6500</v>
      </c>
      <c r="E118" s="63"/>
      <c r="F118" s="65">
        <f t="shared" si="24"/>
        <v>7.6315369261477</v>
      </c>
      <c r="G118" s="65">
        <f t="shared" si="20"/>
        <v>7.02594810379242</v>
      </c>
      <c r="H118" s="66" t="str">
        <f t="shared" si="21"/>
        <v/>
      </c>
      <c r="I118" s="65">
        <f t="shared" si="25"/>
        <v>1367.77777777778</v>
      </c>
      <c r="J118" s="65">
        <f t="shared" si="22"/>
        <v>1173.33333333333</v>
      </c>
      <c r="K118" s="66" t="str">
        <f t="shared" si="23"/>
        <v/>
      </c>
      <c r="L118" s="67"/>
    </row>
    <row r="119" ht="15.75" spans="1:12">
      <c r="A119" s="61"/>
      <c r="B119" s="62" t="s">
        <v>231</v>
      </c>
      <c r="C119" s="63">
        <v>170</v>
      </c>
      <c r="D119" s="64">
        <v>6500</v>
      </c>
      <c r="E119" s="63"/>
      <c r="F119" s="65">
        <f t="shared" si="24"/>
        <v>7.6315369261477</v>
      </c>
      <c r="G119" s="65">
        <f t="shared" si="20"/>
        <v>7.02594810379242</v>
      </c>
      <c r="H119" s="66" t="str">
        <f t="shared" si="21"/>
        <v/>
      </c>
      <c r="I119" s="65">
        <f t="shared" si="25"/>
        <v>1367.77777777778</v>
      </c>
      <c r="J119" s="65">
        <f t="shared" si="22"/>
        <v>1173.33333333333</v>
      </c>
      <c r="K119" s="66" t="str">
        <f t="shared" si="23"/>
        <v/>
      </c>
      <c r="L119" s="67"/>
    </row>
    <row r="120" ht="15.75" spans="1:12">
      <c r="A120" s="61"/>
      <c r="B120" s="62" t="s">
        <v>180</v>
      </c>
      <c r="C120" s="63">
        <v>225</v>
      </c>
      <c r="D120" s="64">
        <v>6500</v>
      </c>
      <c r="E120" s="63"/>
      <c r="F120" s="65">
        <f t="shared" si="24"/>
        <v>8.7315369261477</v>
      </c>
      <c r="G120" s="65">
        <f t="shared" si="20"/>
        <v>7.02594810379242</v>
      </c>
      <c r="H120" s="66" t="str">
        <f t="shared" si="21"/>
        <v/>
      </c>
      <c r="I120" s="65">
        <f t="shared" si="25"/>
        <v>1581.66666666667</v>
      </c>
      <c r="J120" s="65">
        <f t="shared" si="22"/>
        <v>1173.33333333333</v>
      </c>
      <c r="K120" s="66" t="str">
        <f t="shared" si="23"/>
        <v/>
      </c>
      <c r="L120" s="67"/>
    </row>
    <row r="121" ht="15.75" spans="1:12">
      <c r="A121" s="61"/>
      <c r="B121" s="62" t="s">
        <v>143</v>
      </c>
      <c r="C121" s="63">
        <v>225</v>
      </c>
      <c r="D121" s="64">
        <v>6500</v>
      </c>
      <c r="E121" s="63"/>
      <c r="F121" s="65">
        <f t="shared" si="24"/>
        <v>8.7315369261477</v>
      </c>
      <c r="G121" s="65">
        <f t="shared" si="20"/>
        <v>7.02594810379242</v>
      </c>
      <c r="H121" s="66" t="str">
        <f t="shared" si="21"/>
        <v/>
      </c>
      <c r="I121" s="65">
        <f t="shared" si="25"/>
        <v>1581.66666666667</v>
      </c>
      <c r="J121" s="65">
        <f t="shared" si="22"/>
        <v>1173.33333333333</v>
      </c>
      <c r="K121" s="66" t="str">
        <f t="shared" si="23"/>
        <v/>
      </c>
      <c r="L121" s="67"/>
    </row>
    <row r="122" ht="15.75" spans="1:12">
      <c r="A122" s="61"/>
      <c r="B122" s="62" t="s">
        <v>181</v>
      </c>
      <c r="C122" s="63">
        <v>225</v>
      </c>
      <c r="D122" s="64">
        <v>6500</v>
      </c>
      <c r="E122" s="63"/>
      <c r="F122" s="65">
        <f t="shared" si="24"/>
        <v>8.7315369261477</v>
      </c>
      <c r="G122" s="65">
        <f t="shared" si="20"/>
        <v>7.02594810379242</v>
      </c>
      <c r="H122" s="66" t="str">
        <f t="shared" si="21"/>
        <v/>
      </c>
      <c r="I122" s="65">
        <f t="shared" si="25"/>
        <v>1581.66666666667</v>
      </c>
      <c r="J122" s="65">
        <f t="shared" si="22"/>
        <v>1173.33333333333</v>
      </c>
      <c r="K122" s="66" t="str">
        <f t="shared" si="23"/>
        <v/>
      </c>
      <c r="L122" s="67"/>
    </row>
    <row r="123" ht="15.75" spans="1:12">
      <c r="A123" s="69" t="s">
        <v>169</v>
      </c>
      <c r="B123" s="62" t="s">
        <v>381</v>
      </c>
      <c r="C123" s="63">
        <v>75</v>
      </c>
      <c r="D123" s="70"/>
      <c r="E123" s="63"/>
      <c r="F123" s="65">
        <f t="shared" si="24"/>
        <v>5.7315369261477</v>
      </c>
      <c r="G123" s="65" t="str">
        <f t="shared" si="20"/>
        <v/>
      </c>
      <c r="H123" s="66" t="str">
        <f t="shared" si="21"/>
        <v/>
      </c>
      <c r="I123" s="65">
        <f t="shared" si="25"/>
        <v>998.333333333333</v>
      </c>
      <c r="J123" s="65" t="str">
        <f t="shared" si="22"/>
        <v/>
      </c>
      <c r="K123" s="66" t="str">
        <f t="shared" si="23"/>
        <v/>
      </c>
      <c r="L123" s="67"/>
    </row>
    <row r="124" ht="15.75" spans="1:12">
      <c r="A124" s="69"/>
      <c r="B124" s="62" t="s">
        <v>224</v>
      </c>
      <c r="C124" s="63">
        <v>80</v>
      </c>
      <c r="D124" s="70"/>
      <c r="E124" s="63"/>
      <c r="F124" s="65">
        <f t="shared" si="24"/>
        <v>5.8315369261477</v>
      </c>
      <c r="G124" s="65" t="str">
        <f t="shared" si="20"/>
        <v/>
      </c>
      <c r="H124" s="66" t="str">
        <f t="shared" si="21"/>
        <v/>
      </c>
      <c r="I124" s="65">
        <f t="shared" si="25"/>
        <v>1017.77777777778</v>
      </c>
      <c r="J124" s="65" t="str">
        <f t="shared" si="22"/>
        <v/>
      </c>
      <c r="K124" s="66" t="str">
        <f t="shared" si="23"/>
        <v/>
      </c>
      <c r="L124" s="67"/>
    </row>
    <row r="125" ht="15.75" spans="1:12">
      <c r="A125" s="69"/>
      <c r="B125" s="62" t="s">
        <v>382</v>
      </c>
      <c r="C125" s="63"/>
      <c r="D125" s="70"/>
      <c r="E125" s="63"/>
      <c r="F125" s="65">
        <f t="shared" si="24"/>
        <v>4.2315369261477</v>
      </c>
      <c r="G125" s="65" t="str">
        <f t="shared" si="20"/>
        <v/>
      </c>
      <c r="H125" s="66" t="str">
        <f t="shared" si="21"/>
        <v/>
      </c>
      <c r="I125" s="65">
        <f t="shared" si="25"/>
        <v>706.666666666667</v>
      </c>
      <c r="J125" s="65" t="str">
        <f t="shared" si="22"/>
        <v/>
      </c>
      <c r="K125" s="66" t="str">
        <f t="shared" si="23"/>
        <v/>
      </c>
      <c r="L125" s="67"/>
    </row>
    <row r="126" ht="15.75" spans="1:12">
      <c r="A126" s="69"/>
      <c r="B126" s="62" t="s">
        <v>383</v>
      </c>
      <c r="C126" s="63"/>
      <c r="D126" s="70"/>
      <c r="E126" s="63"/>
      <c r="F126" s="65">
        <f t="shared" si="24"/>
        <v>4.2315369261477</v>
      </c>
      <c r="G126" s="65" t="str">
        <f t="shared" si="20"/>
        <v/>
      </c>
      <c r="H126" s="66" t="str">
        <f t="shared" si="21"/>
        <v/>
      </c>
      <c r="I126" s="65">
        <f t="shared" si="25"/>
        <v>706.666666666667</v>
      </c>
      <c r="J126" s="65" t="str">
        <f t="shared" si="22"/>
        <v/>
      </c>
      <c r="K126" s="66" t="str">
        <f t="shared" si="23"/>
        <v/>
      </c>
      <c r="L126" s="67"/>
    </row>
    <row r="127" ht="15.75" spans="1:12">
      <c r="A127" s="69"/>
      <c r="B127" s="62" t="s">
        <v>384</v>
      </c>
      <c r="C127" s="63">
        <v>95</v>
      </c>
      <c r="D127" s="70"/>
      <c r="E127" s="63"/>
      <c r="F127" s="65">
        <f t="shared" si="24"/>
        <v>6.1315369261477</v>
      </c>
      <c r="G127" s="65" t="str">
        <f t="shared" si="20"/>
        <v/>
      </c>
      <c r="H127" s="66" t="str">
        <f t="shared" si="21"/>
        <v/>
      </c>
      <c r="I127" s="65">
        <f t="shared" si="25"/>
        <v>1076.11111111111</v>
      </c>
      <c r="J127" s="65" t="str">
        <f t="shared" si="22"/>
        <v/>
      </c>
      <c r="K127" s="66" t="str">
        <f t="shared" si="23"/>
        <v/>
      </c>
      <c r="L127" s="67"/>
    </row>
    <row r="128" ht="15.75" spans="1:12">
      <c r="A128" s="69"/>
      <c r="B128" s="62" t="s">
        <v>385</v>
      </c>
      <c r="C128" s="63">
        <v>35</v>
      </c>
      <c r="D128" s="70"/>
      <c r="E128" s="63"/>
      <c r="F128" s="65">
        <f t="shared" si="24"/>
        <v>4.9315369261477</v>
      </c>
      <c r="G128" s="65" t="str">
        <f t="shared" si="20"/>
        <v/>
      </c>
      <c r="H128" s="66" t="str">
        <f t="shared" si="21"/>
        <v/>
      </c>
      <c r="I128" s="65">
        <f t="shared" si="25"/>
        <v>842.777777777778</v>
      </c>
      <c r="J128" s="65" t="str">
        <f t="shared" si="22"/>
        <v/>
      </c>
      <c r="K128" s="66" t="str">
        <f t="shared" si="23"/>
        <v/>
      </c>
      <c r="L128" s="67"/>
    </row>
    <row r="129" ht="15.75" spans="1:12">
      <c r="A129" s="69"/>
      <c r="B129" s="62" t="s">
        <v>386</v>
      </c>
      <c r="C129" s="63">
        <v>35</v>
      </c>
      <c r="D129" s="70"/>
      <c r="E129" s="63"/>
      <c r="F129" s="65">
        <f t="shared" si="24"/>
        <v>4.9315369261477</v>
      </c>
      <c r="G129" s="65" t="str">
        <f t="shared" si="20"/>
        <v/>
      </c>
      <c r="H129" s="66" t="str">
        <f t="shared" si="21"/>
        <v/>
      </c>
      <c r="I129" s="65">
        <f t="shared" si="25"/>
        <v>842.777777777778</v>
      </c>
      <c r="J129" s="65" t="str">
        <f t="shared" si="22"/>
        <v/>
      </c>
      <c r="K129" s="66" t="str">
        <f t="shared" si="23"/>
        <v/>
      </c>
      <c r="L129" s="67"/>
    </row>
    <row r="130" ht="15.75" spans="1:12">
      <c r="A130" s="69"/>
      <c r="B130" s="62" t="s">
        <v>387</v>
      </c>
      <c r="C130" s="63">
        <v>50</v>
      </c>
      <c r="D130" s="70"/>
      <c r="E130" s="63"/>
      <c r="F130" s="65">
        <f t="shared" si="24"/>
        <v>5.2315369261477</v>
      </c>
      <c r="G130" s="65" t="str">
        <f t="shared" si="20"/>
        <v/>
      </c>
      <c r="H130" s="66" t="str">
        <f t="shared" si="21"/>
        <v/>
      </c>
      <c r="I130" s="65">
        <f t="shared" si="25"/>
        <v>901.111111111111</v>
      </c>
      <c r="J130" s="65" t="str">
        <f t="shared" si="22"/>
        <v/>
      </c>
      <c r="K130" s="66" t="str">
        <f t="shared" si="23"/>
        <v/>
      </c>
      <c r="L130" s="67"/>
    </row>
    <row r="131" ht="15.75" spans="1:12">
      <c r="A131" s="69"/>
      <c r="B131" s="62" t="s">
        <v>388</v>
      </c>
      <c r="C131" s="63">
        <v>95</v>
      </c>
      <c r="D131" s="70"/>
      <c r="E131" s="63"/>
      <c r="F131" s="65">
        <f t="shared" si="24"/>
        <v>6.1315369261477</v>
      </c>
      <c r="G131" s="65" t="str">
        <f t="shared" si="20"/>
        <v/>
      </c>
      <c r="H131" s="66" t="str">
        <f t="shared" si="21"/>
        <v/>
      </c>
      <c r="I131" s="65">
        <f t="shared" si="25"/>
        <v>1076.11111111111</v>
      </c>
      <c r="J131" s="65" t="str">
        <f t="shared" si="22"/>
        <v/>
      </c>
      <c r="K131" s="66" t="str">
        <f t="shared" si="23"/>
        <v/>
      </c>
      <c r="L131" s="67"/>
    </row>
    <row r="132" ht="15.75" spans="1:12">
      <c r="A132" s="69"/>
      <c r="B132" s="62" t="s">
        <v>389</v>
      </c>
      <c r="C132" s="63">
        <v>85</v>
      </c>
      <c r="D132" s="70"/>
      <c r="E132" s="63"/>
      <c r="F132" s="65">
        <f t="shared" si="24"/>
        <v>5.9315369261477</v>
      </c>
      <c r="G132" s="65" t="str">
        <f t="shared" si="20"/>
        <v/>
      </c>
      <c r="H132" s="66" t="str">
        <f t="shared" si="21"/>
        <v/>
      </c>
      <c r="I132" s="65">
        <f t="shared" si="25"/>
        <v>1037.22222222222</v>
      </c>
      <c r="J132" s="65" t="str">
        <f t="shared" si="22"/>
        <v/>
      </c>
      <c r="K132" s="66" t="str">
        <f t="shared" si="23"/>
        <v/>
      </c>
      <c r="L132" s="67"/>
    </row>
    <row r="133" ht="15.75" spans="1:12">
      <c r="A133" s="69"/>
      <c r="B133" s="62" t="s">
        <v>390</v>
      </c>
      <c r="C133" s="63">
        <v>85</v>
      </c>
      <c r="D133" s="70"/>
      <c r="E133" s="63"/>
      <c r="F133" s="65">
        <f t="shared" si="24"/>
        <v>5.9315369261477</v>
      </c>
      <c r="G133" s="65" t="str">
        <f t="shared" si="20"/>
        <v/>
      </c>
      <c r="H133" s="66" t="str">
        <f t="shared" si="21"/>
        <v/>
      </c>
      <c r="I133" s="65">
        <f t="shared" si="25"/>
        <v>1037.22222222222</v>
      </c>
      <c r="J133" s="65" t="str">
        <f t="shared" si="22"/>
        <v/>
      </c>
      <c r="K133" s="66" t="str">
        <f t="shared" si="23"/>
        <v/>
      </c>
      <c r="L133" s="67"/>
    </row>
    <row r="134" ht="15.75" spans="1:12">
      <c r="A134" s="69"/>
      <c r="B134" s="62" t="s">
        <v>391</v>
      </c>
      <c r="C134" s="63">
        <v>55</v>
      </c>
      <c r="D134" s="70"/>
      <c r="E134" s="63"/>
      <c r="F134" s="65"/>
      <c r="G134" s="65" t="str">
        <f t="shared" si="20"/>
        <v/>
      </c>
      <c r="H134" s="66" t="str">
        <f t="shared" si="21"/>
        <v/>
      </c>
      <c r="I134" s="65">
        <f t="shared" si="25"/>
        <v>920.555555555556</v>
      </c>
      <c r="J134" s="65" t="str">
        <f t="shared" si="22"/>
        <v/>
      </c>
      <c r="K134" s="66" t="str">
        <f t="shared" si="23"/>
        <v/>
      </c>
      <c r="L134" s="67"/>
    </row>
    <row r="135" ht="15.75" spans="1:12">
      <c r="A135" s="69"/>
      <c r="B135" s="62" t="s">
        <v>179</v>
      </c>
      <c r="C135" s="63">
        <v>125</v>
      </c>
      <c r="D135" s="70"/>
      <c r="E135" s="63"/>
      <c r="F135" s="65">
        <f>$J$12+(C135*$J$10/$L$10)</f>
        <v>6.7315369261477</v>
      </c>
      <c r="G135" s="65" t="str">
        <f t="shared" si="20"/>
        <v/>
      </c>
      <c r="H135" s="66" t="str">
        <f t="shared" si="21"/>
        <v/>
      </c>
      <c r="I135" s="65">
        <f t="shared" si="25"/>
        <v>1192.77777777778</v>
      </c>
      <c r="J135" s="65" t="str">
        <f t="shared" si="22"/>
        <v/>
      </c>
      <c r="K135" s="66" t="str">
        <f t="shared" si="23"/>
        <v/>
      </c>
      <c r="L135" s="67"/>
    </row>
    <row r="136" ht="15.75" spans="1:12">
      <c r="A136" s="69"/>
      <c r="B136" s="62" t="s">
        <v>274</v>
      </c>
      <c r="C136" s="63">
        <v>35</v>
      </c>
      <c r="D136" s="70"/>
      <c r="E136" s="63"/>
      <c r="F136" s="65">
        <f>$J$12+(C136*$J$10/$L$10)</f>
        <v>4.9315369261477</v>
      </c>
      <c r="G136" s="65" t="str">
        <f t="shared" si="20"/>
        <v/>
      </c>
      <c r="H136" s="66" t="str">
        <f t="shared" si="21"/>
        <v/>
      </c>
      <c r="I136" s="65">
        <f t="shared" si="25"/>
        <v>842.777777777778</v>
      </c>
      <c r="J136" s="65" t="str">
        <f t="shared" si="22"/>
        <v/>
      </c>
      <c r="K136" s="66" t="str">
        <f t="shared" si="23"/>
        <v/>
      </c>
      <c r="L136" s="67"/>
    </row>
    <row r="137" ht="15.75" spans="1:12">
      <c r="A137" s="71"/>
      <c r="B137" s="62" t="s">
        <v>392</v>
      </c>
      <c r="C137" s="63">
        <v>70</v>
      </c>
      <c r="D137" s="72"/>
      <c r="E137" s="63"/>
      <c r="F137" s="65">
        <f>$J$12+(C137*$J$10/$L$10)</f>
        <v>5.6315369261477</v>
      </c>
      <c r="G137" s="65" t="str">
        <f t="shared" si="20"/>
        <v/>
      </c>
      <c r="H137" s="66" t="str">
        <f t="shared" si="21"/>
        <v/>
      </c>
      <c r="I137" s="65">
        <f t="shared" si="25"/>
        <v>978.888888888889</v>
      </c>
      <c r="J137" s="65" t="str">
        <f t="shared" si="22"/>
        <v/>
      </c>
      <c r="K137" s="66" t="str">
        <f t="shared" si="23"/>
        <v/>
      </c>
      <c r="L137" s="67"/>
    </row>
    <row r="138" ht="15.75" spans="1:12">
      <c r="A138" s="71"/>
      <c r="B138" s="62" t="s">
        <v>346</v>
      </c>
      <c r="C138" s="63">
        <v>140</v>
      </c>
      <c r="D138" s="72"/>
      <c r="E138" s="63"/>
      <c r="F138" s="65">
        <f>$J$12+(C138*$J$10/$L$10)</f>
        <v>7.0315369261477</v>
      </c>
      <c r="G138" s="65" t="str">
        <f t="shared" si="20"/>
        <v/>
      </c>
      <c r="H138" s="66" t="str">
        <f t="shared" si="21"/>
        <v/>
      </c>
      <c r="I138" s="65">
        <f t="shared" si="25"/>
        <v>1251.11111111111</v>
      </c>
      <c r="J138" s="65" t="str">
        <f t="shared" si="22"/>
        <v/>
      </c>
      <c r="K138" s="66" t="str">
        <f t="shared" si="23"/>
        <v/>
      </c>
      <c r="L138" s="67"/>
    </row>
    <row r="139" ht="15.75" spans="1:12">
      <c r="A139" s="71"/>
      <c r="B139" s="62"/>
      <c r="C139" s="63"/>
      <c r="D139" s="72"/>
      <c r="E139" s="63"/>
      <c r="F139" s="65"/>
      <c r="G139" s="65"/>
      <c r="H139" s="66"/>
      <c r="I139" s="65"/>
      <c r="J139" s="65"/>
      <c r="K139" s="66"/>
      <c r="L139" s="67"/>
    </row>
    <row r="140" ht="15.75" spans="1:12">
      <c r="A140" s="71"/>
      <c r="B140" s="62"/>
      <c r="C140" s="63"/>
      <c r="D140" s="72"/>
      <c r="E140" s="63"/>
      <c r="F140" s="65"/>
      <c r="G140" s="65"/>
      <c r="H140" s="66"/>
      <c r="I140" s="65"/>
      <c r="J140" s="65"/>
      <c r="K140" s="66"/>
      <c r="L140" s="67"/>
    </row>
    <row r="141" ht="15.75" spans="1:12">
      <c r="A141" s="71"/>
      <c r="B141" s="62"/>
      <c r="C141" s="63"/>
      <c r="D141" s="72"/>
      <c r="E141" s="63"/>
      <c r="F141" s="65"/>
      <c r="G141" s="65"/>
      <c r="H141" s="66"/>
      <c r="I141" s="65"/>
      <c r="J141" s="65"/>
      <c r="K141" s="66"/>
      <c r="L141" s="67"/>
    </row>
    <row r="142" ht="15.75" spans="1:12">
      <c r="A142" s="71"/>
      <c r="B142" s="62"/>
      <c r="C142" s="63"/>
      <c r="D142" s="72"/>
      <c r="E142" s="63"/>
      <c r="F142" s="65"/>
      <c r="G142" s="65"/>
      <c r="H142" s="66"/>
      <c r="I142" s="65"/>
      <c r="J142" s="65"/>
      <c r="K142" s="66"/>
      <c r="L142" s="67"/>
    </row>
    <row r="143" ht="15.75" spans="1:12">
      <c r="A143" s="71"/>
      <c r="B143" s="62"/>
      <c r="C143" s="63"/>
      <c r="D143" s="72"/>
      <c r="E143" s="63"/>
      <c r="F143" s="65"/>
      <c r="G143" s="65"/>
      <c r="H143" s="66"/>
      <c r="I143" s="65"/>
      <c r="J143" s="65"/>
      <c r="K143" s="66"/>
      <c r="L143" s="67"/>
    </row>
    <row r="144" ht="15.75" spans="1:12">
      <c r="A144" s="71"/>
      <c r="B144" s="62"/>
      <c r="C144" s="63"/>
      <c r="D144" s="72"/>
      <c r="E144" s="63"/>
      <c r="F144" s="65"/>
      <c r="G144" s="65"/>
      <c r="H144" s="66"/>
      <c r="I144" s="65"/>
      <c r="J144" s="65"/>
      <c r="K144" s="66"/>
      <c r="L144" s="67"/>
    </row>
    <row r="145" ht="15.75" spans="1:12">
      <c r="A145" s="71"/>
      <c r="B145" s="62"/>
      <c r="C145" s="63"/>
      <c r="D145" s="72"/>
      <c r="E145" s="63"/>
      <c r="F145" s="65"/>
      <c r="G145" s="65"/>
      <c r="H145" s="66"/>
      <c r="I145" s="65"/>
      <c r="J145" s="65"/>
      <c r="K145" s="66"/>
      <c r="L145" s="67"/>
    </row>
    <row r="146" ht="15.75" spans="1:12">
      <c r="A146" s="71"/>
      <c r="B146" s="62"/>
      <c r="C146" s="63"/>
      <c r="D146" s="72"/>
      <c r="E146" s="63"/>
      <c r="F146" s="65"/>
      <c r="G146" s="65"/>
      <c r="H146" s="66"/>
      <c r="I146" s="65"/>
      <c r="J146" s="65"/>
      <c r="K146" s="66"/>
      <c r="L146" s="67"/>
    </row>
    <row r="147" ht="15.75" spans="1:12">
      <c r="A147" s="71"/>
      <c r="B147" s="62"/>
      <c r="C147" s="63"/>
      <c r="D147" s="72"/>
      <c r="E147" s="63"/>
      <c r="F147" s="65"/>
      <c r="G147" s="65"/>
      <c r="H147" s="66"/>
      <c r="I147" s="65"/>
      <c r="J147" s="65"/>
      <c r="K147" s="66"/>
      <c r="L147" s="67"/>
    </row>
    <row r="148" ht="15.75" spans="1:12">
      <c r="A148" s="71"/>
      <c r="B148" s="62"/>
      <c r="C148" s="63"/>
      <c r="D148" s="72"/>
      <c r="E148" s="63"/>
      <c r="F148" s="65"/>
      <c r="G148" s="65"/>
      <c r="H148" s="66"/>
      <c r="I148" s="65"/>
      <c r="J148" s="65"/>
      <c r="K148" s="66"/>
      <c r="L148" s="67"/>
    </row>
    <row r="149" ht="15.75" spans="1:12">
      <c r="A149" s="71"/>
      <c r="B149" s="62"/>
      <c r="C149" s="63"/>
      <c r="D149" s="72"/>
      <c r="E149" s="63"/>
      <c r="F149" s="65"/>
      <c r="G149" s="65"/>
      <c r="H149" s="66"/>
      <c r="I149" s="65"/>
      <c r="J149" s="65"/>
      <c r="K149" s="66"/>
      <c r="L149" s="67"/>
    </row>
    <row r="150" ht="15.75" spans="1:12">
      <c r="A150" s="71"/>
      <c r="B150" s="62"/>
      <c r="C150" s="63"/>
      <c r="D150" s="72"/>
      <c r="E150" s="63"/>
      <c r="F150" s="65"/>
      <c r="G150" s="65"/>
      <c r="H150" s="66"/>
      <c r="I150" s="65"/>
      <c r="J150" s="65"/>
      <c r="K150" s="66"/>
      <c r="L150" s="67"/>
    </row>
    <row r="151" ht="15.75" spans="1:12">
      <c r="A151" s="71"/>
      <c r="B151" s="62"/>
      <c r="C151" s="63"/>
      <c r="D151" s="72"/>
      <c r="E151" s="63"/>
      <c r="F151" s="65"/>
      <c r="G151" s="65"/>
      <c r="H151" s="66"/>
      <c r="I151" s="65"/>
      <c r="J151" s="65"/>
      <c r="K151" s="66"/>
      <c r="L151" s="67"/>
    </row>
    <row r="152" ht="15.75" spans="1:12">
      <c r="A152" s="71"/>
      <c r="B152" s="62"/>
      <c r="C152" s="63"/>
      <c r="D152" s="72"/>
      <c r="E152" s="63"/>
      <c r="F152" s="65"/>
      <c r="G152" s="65"/>
      <c r="H152" s="66"/>
      <c r="I152" s="65"/>
      <c r="J152" s="65"/>
      <c r="K152" s="66"/>
      <c r="L152" s="67"/>
    </row>
    <row r="153" ht="15.75" spans="1:12">
      <c r="A153" s="71"/>
      <c r="B153" s="62"/>
      <c r="C153" s="63"/>
      <c r="D153" s="72"/>
      <c r="E153" s="63"/>
      <c r="F153" s="65"/>
      <c r="G153" s="65"/>
      <c r="H153" s="66"/>
      <c r="I153" s="65"/>
      <c r="J153" s="65"/>
      <c r="K153" s="66"/>
      <c r="L153" s="67"/>
    </row>
    <row r="154" ht="15.75" spans="1:12">
      <c r="A154" s="71"/>
      <c r="B154" s="62"/>
      <c r="C154" s="63"/>
      <c r="D154" s="72"/>
      <c r="E154" s="63"/>
      <c r="F154" s="65"/>
      <c r="G154" s="65"/>
      <c r="H154" s="66"/>
      <c r="I154" s="65"/>
      <c r="J154" s="65"/>
      <c r="K154" s="66"/>
      <c r="L154" s="67"/>
    </row>
    <row r="155" ht="15.75" spans="1:12">
      <c r="A155" s="71"/>
      <c r="B155" s="62"/>
      <c r="C155" s="63"/>
      <c r="D155" s="72"/>
      <c r="E155" s="63"/>
      <c r="F155" s="65"/>
      <c r="G155" s="65"/>
      <c r="H155" s="66"/>
      <c r="I155" s="65"/>
      <c r="J155" s="65"/>
      <c r="K155" s="66"/>
      <c r="L155" s="67"/>
    </row>
    <row r="156" ht="15.75" spans="1:12">
      <c r="A156" s="71"/>
      <c r="B156" s="62"/>
      <c r="C156" s="63"/>
      <c r="D156" s="72"/>
      <c r="E156" s="63"/>
      <c r="F156" s="65"/>
      <c r="G156" s="65"/>
      <c r="H156" s="66"/>
      <c r="I156" s="65"/>
      <c r="J156" s="65"/>
      <c r="K156" s="66"/>
      <c r="L156" s="67"/>
    </row>
    <row r="157" ht="15.75" spans="1:12">
      <c r="A157" s="71"/>
      <c r="B157" s="62"/>
      <c r="C157" s="63"/>
      <c r="D157" s="72"/>
      <c r="E157" s="63"/>
      <c r="F157" s="65"/>
      <c r="G157" s="65"/>
      <c r="H157" s="66"/>
      <c r="I157" s="65"/>
      <c r="J157" s="65"/>
      <c r="K157" s="66"/>
      <c r="L157" s="67"/>
    </row>
    <row r="158" ht="15.75" spans="1:12">
      <c r="A158" s="71"/>
      <c r="B158" s="62"/>
      <c r="C158" s="63"/>
      <c r="D158" s="72"/>
      <c r="E158" s="63"/>
      <c r="F158" s="65"/>
      <c r="G158" s="65"/>
      <c r="H158" s="66"/>
      <c r="I158" s="65"/>
      <c r="J158" s="65"/>
      <c r="K158" s="66"/>
      <c r="L158" s="67"/>
    </row>
    <row r="159" ht="15.75" spans="1:12">
      <c r="A159" s="71"/>
      <c r="B159" s="62"/>
      <c r="C159" s="63"/>
      <c r="D159" s="72"/>
      <c r="E159" s="63"/>
      <c r="F159" s="65"/>
      <c r="G159" s="65"/>
      <c r="H159" s="66"/>
      <c r="I159" s="65"/>
      <c r="J159" s="65"/>
      <c r="K159" s="66"/>
      <c r="L159" s="67"/>
    </row>
    <row r="160" ht="15.75" spans="1:12">
      <c r="A160" s="71"/>
      <c r="B160" s="62"/>
      <c r="C160" s="63"/>
      <c r="D160" s="72"/>
      <c r="E160" s="63"/>
      <c r="F160" s="65"/>
      <c r="G160" s="65"/>
      <c r="H160" s="66"/>
      <c r="I160" s="65"/>
      <c r="J160" s="65"/>
      <c r="K160" s="66"/>
      <c r="L160" s="67"/>
    </row>
    <row r="161" ht="15.75" spans="1:12">
      <c r="A161" s="71"/>
      <c r="B161" s="62"/>
      <c r="C161" s="63"/>
      <c r="D161" s="72"/>
      <c r="E161" s="63"/>
      <c r="F161" s="65"/>
      <c r="G161" s="65"/>
      <c r="H161" s="66"/>
      <c r="I161" s="65"/>
      <c r="J161" s="65"/>
      <c r="K161" s="66"/>
      <c r="L161" s="67"/>
    </row>
    <row r="162" ht="15.75" spans="1:12">
      <c r="A162" s="71"/>
      <c r="B162" s="62"/>
      <c r="C162" s="63"/>
      <c r="D162" s="72"/>
      <c r="E162" s="63"/>
      <c r="F162" s="65"/>
      <c r="G162" s="65"/>
      <c r="H162" s="66"/>
      <c r="I162" s="65"/>
      <c r="J162" s="65"/>
      <c r="K162" s="66"/>
      <c r="L162" s="67"/>
    </row>
    <row r="163" ht="15.75" spans="1:12">
      <c r="A163" s="71"/>
      <c r="B163" s="62"/>
      <c r="C163" s="63"/>
      <c r="D163" s="72"/>
      <c r="E163" s="63"/>
      <c r="F163" s="65"/>
      <c r="G163" s="65"/>
      <c r="H163" s="66"/>
      <c r="I163" s="65"/>
      <c r="J163" s="65"/>
      <c r="K163" s="66"/>
      <c r="L163" s="67"/>
    </row>
    <row r="164" ht="15.75" spans="1:12">
      <c r="A164" s="71"/>
      <c r="B164" s="62"/>
      <c r="C164" s="63"/>
      <c r="D164" s="72"/>
      <c r="E164" s="63"/>
      <c r="F164" s="65"/>
      <c r="G164" s="65"/>
      <c r="H164" s="66"/>
      <c r="I164" s="65"/>
      <c r="J164" s="65"/>
      <c r="K164" s="66"/>
      <c r="L164" s="67"/>
    </row>
    <row r="165" ht="15.75" spans="1:12">
      <c r="A165" s="71"/>
      <c r="B165" s="62"/>
      <c r="C165" s="63"/>
      <c r="D165" s="72"/>
      <c r="E165" s="63"/>
      <c r="F165" s="65"/>
      <c r="G165" s="65"/>
      <c r="H165" s="66"/>
      <c r="I165" s="65"/>
      <c r="J165" s="65"/>
      <c r="K165" s="66"/>
      <c r="L165" s="67"/>
    </row>
    <row r="166" ht="15.75" spans="1:12">
      <c r="A166" s="71"/>
      <c r="B166" s="62"/>
      <c r="C166" s="63"/>
      <c r="D166" s="72"/>
      <c r="E166" s="63"/>
      <c r="F166" s="65"/>
      <c r="G166" s="65"/>
      <c r="H166" s="66"/>
      <c r="I166" s="65"/>
      <c r="J166" s="65"/>
      <c r="K166" s="66"/>
      <c r="L166" s="67"/>
    </row>
    <row r="167" ht="15.75" spans="1:12">
      <c r="A167" s="71"/>
      <c r="B167" s="62"/>
      <c r="C167" s="63"/>
      <c r="D167" s="72"/>
      <c r="E167" s="63"/>
      <c r="F167" s="65"/>
      <c r="G167" s="65"/>
      <c r="H167" s="66"/>
      <c r="I167" s="65"/>
      <c r="J167" s="65"/>
      <c r="K167" s="66"/>
      <c r="L167" s="67"/>
    </row>
    <row r="168" ht="15.75" spans="1:12">
      <c r="A168" s="71"/>
      <c r="B168" s="62"/>
      <c r="C168" s="63"/>
      <c r="D168" s="72"/>
      <c r="E168" s="63"/>
      <c r="F168" s="65"/>
      <c r="G168" s="65"/>
      <c r="H168" s="66"/>
      <c r="I168" s="65"/>
      <c r="J168" s="65"/>
      <c r="K168" s="66"/>
      <c r="L168" s="67"/>
    </row>
    <row r="169" ht="15.75" spans="1:12">
      <c r="A169" s="71"/>
      <c r="B169" s="62"/>
      <c r="C169" s="63"/>
      <c r="D169" s="72"/>
      <c r="E169" s="63"/>
      <c r="F169" s="65"/>
      <c r="G169" s="65"/>
      <c r="H169" s="66"/>
      <c r="I169" s="65"/>
      <c r="J169" s="65"/>
      <c r="K169" s="66"/>
      <c r="L169" s="67"/>
    </row>
    <row r="170" ht="15.75" spans="1:12">
      <c r="A170" s="71"/>
      <c r="B170" s="62"/>
      <c r="C170" s="63"/>
      <c r="D170" s="72"/>
      <c r="E170" s="63"/>
      <c r="F170" s="65"/>
      <c r="G170" s="65"/>
      <c r="H170" s="66"/>
      <c r="I170" s="65"/>
      <c r="J170" s="65"/>
      <c r="K170" s="66"/>
      <c r="L170" s="67"/>
    </row>
    <row r="171" ht="15.75" spans="1:12">
      <c r="A171" s="71"/>
      <c r="B171" s="62"/>
      <c r="C171" s="63"/>
      <c r="D171" s="72"/>
      <c r="E171" s="63"/>
      <c r="F171" s="65"/>
      <c r="G171" s="65"/>
      <c r="H171" s="66"/>
      <c r="I171" s="65"/>
      <c r="J171" s="65"/>
      <c r="K171" s="66"/>
      <c r="L171" s="67"/>
    </row>
    <row r="172" ht="15.75" spans="1:12">
      <c r="A172" s="71"/>
      <c r="B172" s="62"/>
      <c r="C172" s="63"/>
      <c r="D172" s="72"/>
      <c r="E172" s="63"/>
      <c r="F172" s="65"/>
      <c r="G172" s="65"/>
      <c r="H172" s="66"/>
      <c r="I172" s="65"/>
      <c r="J172" s="65"/>
      <c r="K172" s="66"/>
      <c r="L172" s="67"/>
    </row>
    <row r="173" ht="15.75" spans="1:12">
      <c r="A173" s="71"/>
      <c r="B173" s="62"/>
      <c r="C173" s="63"/>
      <c r="D173" s="72"/>
      <c r="E173" s="63"/>
      <c r="F173" s="65"/>
      <c r="G173" s="65"/>
      <c r="H173" s="66"/>
      <c r="I173" s="65"/>
      <c r="J173" s="65"/>
      <c r="K173" s="66"/>
      <c r="L173" s="67"/>
    </row>
    <row r="174" ht="15.75" spans="1:12">
      <c r="A174" s="71"/>
      <c r="B174" s="62"/>
      <c r="C174" s="63"/>
      <c r="D174" s="72"/>
      <c r="E174" s="63"/>
      <c r="F174" s="65"/>
      <c r="G174" s="65"/>
      <c r="H174" s="66"/>
      <c r="I174" s="65"/>
      <c r="J174" s="65"/>
      <c r="K174" s="66"/>
      <c r="L174" s="67"/>
    </row>
    <row r="175" ht="15.75" spans="1:12">
      <c r="A175" s="71"/>
      <c r="B175" s="62"/>
      <c r="C175" s="63"/>
      <c r="D175" s="72"/>
      <c r="E175" s="63"/>
      <c r="F175" s="65"/>
      <c r="G175" s="65"/>
      <c r="H175" s="66"/>
      <c r="I175" s="65"/>
      <c r="J175" s="65"/>
      <c r="K175" s="66"/>
      <c r="L175" s="67"/>
    </row>
    <row r="176" ht="15.75" spans="1:12">
      <c r="A176" s="71"/>
      <c r="B176" s="62"/>
      <c r="C176" s="63"/>
      <c r="D176" s="72"/>
      <c r="E176" s="63"/>
      <c r="F176" s="65"/>
      <c r="G176" s="65"/>
      <c r="H176" s="66"/>
      <c r="I176" s="65"/>
      <c r="J176" s="65"/>
      <c r="K176" s="66"/>
      <c r="L176" s="67"/>
    </row>
    <row r="177" ht="15.75" spans="1:12">
      <c r="A177" s="71"/>
      <c r="B177" s="62"/>
      <c r="C177" s="63"/>
      <c r="D177" s="72"/>
      <c r="E177" s="63"/>
      <c r="F177" s="65"/>
      <c r="G177" s="65"/>
      <c r="H177" s="66"/>
      <c r="I177" s="65"/>
      <c r="J177" s="65"/>
      <c r="K177" s="66"/>
      <c r="L177" s="67"/>
    </row>
    <row r="178" ht="15.75" spans="1:12">
      <c r="A178" s="71"/>
      <c r="B178" s="62"/>
      <c r="C178" s="63"/>
      <c r="D178" s="72"/>
      <c r="E178" s="63"/>
      <c r="F178" s="65"/>
      <c r="G178" s="65"/>
      <c r="H178" s="66"/>
      <c r="I178" s="65"/>
      <c r="J178" s="65"/>
      <c r="K178" s="66"/>
      <c r="L178" s="67"/>
    </row>
    <row r="179" ht="15.75" spans="1:12">
      <c r="A179" s="71"/>
      <c r="B179" s="62"/>
      <c r="C179" s="63"/>
      <c r="D179" s="72"/>
      <c r="E179" s="63"/>
      <c r="F179" s="65"/>
      <c r="G179" s="65"/>
      <c r="H179" s="66"/>
      <c r="I179" s="65"/>
      <c r="J179" s="65"/>
      <c r="K179" s="66"/>
      <c r="L179" s="67"/>
    </row>
    <row r="180" ht="15.75" spans="1:12">
      <c r="A180" s="71"/>
      <c r="B180" s="62"/>
      <c r="C180" s="63"/>
      <c r="D180" s="72"/>
      <c r="E180" s="63"/>
      <c r="F180" s="65"/>
      <c r="G180" s="65"/>
      <c r="H180" s="66"/>
      <c r="I180" s="65"/>
      <c r="J180" s="65"/>
      <c r="K180" s="66"/>
      <c r="L180" s="67"/>
    </row>
    <row r="181" ht="15.75" spans="1:12">
      <c r="A181" s="71"/>
      <c r="B181" s="62"/>
      <c r="C181" s="63"/>
      <c r="D181" s="72"/>
      <c r="E181" s="63"/>
      <c r="F181" s="65"/>
      <c r="G181" s="65"/>
      <c r="H181" s="66"/>
      <c r="I181" s="65"/>
      <c r="J181" s="65"/>
      <c r="K181" s="66"/>
      <c r="L181" s="67"/>
    </row>
    <row r="182" ht="15.75" spans="1:12">
      <c r="A182" s="71"/>
      <c r="B182" s="62"/>
      <c r="C182" s="63"/>
      <c r="D182" s="72"/>
      <c r="E182" s="63"/>
      <c r="F182" s="65"/>
      <c r="G182" s="65"/>
      <c r="H182" s="66"/>
      <c r="I182" s="65"/>
      <c r="J182" s="65"/>
      <c r="K182" s="66"/>
      <c r="L182" s="67"/>
    </row>
    <row r="183" ht="15.75" spans="1:12">
      <c r="A183" s="71"/>
      <c r="B183" s="62"/>
      <c r="C183" s="63"/>
      <c r="D183" s="72"/>
      <c r="E183" s="63"/>
      <c r="F183" s="65"/>
      <c r="G183" s="65"/>
      <c r="H183" s="66"/>
      <c r="I183" s="65"/>
      <c r="J183" s="65"/>
      <c r="K183" s="66"/>
      <c r="L183" s="67"/>
    </row>
    <row r="184" ht="15.75" spans="1:12">
      <c r="A184" s="71"/>
      <c r="B184" s="62"/>
      <c r="C184" s="63"/>
      <c r="D184" s="72"/>
      <c r="E184" s="63"/>
      <c r="F184" s="65"/>
      <c r="G184" s="65"/>
      <c r="H184" s="66"/>
      <c r="I184" s="65"/>
      <c r="J184" s="65"/>
      <c r="K184" s="66"/>
      <c r="L184" s="67"/>
    </row>
    <row r="185" ht="15.75" spans="1:12">
      <c r="A185" s="71"/>
      <c r="B185" s="62"/>
      <c r="C185" s="63"/>
      <c r="D185" s="72"/>
      <c r="E185" s="63"/>
      <c r="F185" s="65"/>
      <c r="G185" s="65"/>
      <c r="H185" s="66"/>
      <c r="I185" s="65"/>
      <c r="J185" s="65"/>
      <c r="K185" s="66"/>
      <c r="L185" s="67"/>
    </row>
    <row r="186" ht="15.75" spans="1:12">
      <c r="A186" s="71"/>
      <c r="B186" s="62"/>
      <c r="C186" s="63"/>
      <c r="D186" s="72"/>
      <c r="E186" s="63"/>
      <c r="F186" s="65"/>
      <c r="G186" s="65"/>
      <c r="H186" s="66"/>
      <c r="I186" s="65"/>
      <c r="J186" s="65"/>
      <c r="K186" s="66"/>
      <c r="L186" s="67"/>
    </row>
    <row r="187" ht="15.75" spans="1:12">
      <c r="A187" s="71"/>
      <c r="B187" s="62"/>
      <c r="C187" s="63"/>
      <c r="D187" s="72"/>
      <c r="E187" s="63"/>
      <c r="F187" s="65"/>
      <c r="G187" s="65"/>
      <c r="H187" s="66"/>
      <c r="I187" s="65"/>
      <c r="J187" s="65"/>
      <c r="K187" s="66"/>
      <c r="L187" s="67"/>
    </row>
    <row r="188" ht="15.75" spans="1:12">
      <c r="A188" s="71"/>
      <c r="B188" s="62"/>
      <c r="C188" s="63"/>
      <c r="D188" s="72"/>
      <c r="E188" s="63"/>
      <c r="F188" s="65"/>
      <c r="G188" s="65"/>
      <c r="H188" s="66"/>
      <c r="I188" s="65"/>
      <c r="J188" s="65"/>
      <c r="K188" s="66"/>
      <c r="L188" s="67"/>
    </row>
    <row r="189" ht="15.75" spans="1:12">
      <c r="A189" s="71"/>
      <c r="B189" s="62"/>
      <c r="C189" s="63"/>
      <c r="D189" s="72"/>
      <c r="E189" s="63"/>
      <c r="F189" s="65"/>
      <c r="G189" s="65"/>
      <c r="H189" s="66"/>
      <c r="I189" s="65"/>
      <c r="J189" s="65"/>
      <c r="K189" s="66"/>
      <c r="L189" s="67"/>
    </row>
    <row r="190" ht="15.75" spans="1:12">
      <c r="A190" s="71"/>
      <c r="B190" s="62"/>
      <c r="C190" s="63"/>
      <c r="D190" s="72"/>
      <c r="E190" s="63"/>
      <c r="F190" s="65"/>
      <c r="G190" s="65"/>
      <c r="H190" s="66"/>
      <c r="I190" s="65"/>
      <c r="J190" s="65"/>
      <c r="K190" s="66"/>
      <c r="L190" s="67"/>
    </row>
    <row r="191" ht="15.75" spans="1:12">
      <c r="A191" s="71"/>
      <c r="B191" s="62"/>
      <c r="C191" s="63"/>
      <c r="D191" s="72"/>
      <c r="E191" s="63"/>
      <c r="F191" s="65"/>
      <c r="G191" s="65"/>
      <c r="H191" s="66"/>
      <c r="I191" s="65"/>
      <c r="J191" s="65"/>
      <c r="K191" s="66"/>
      <c r="L191" s="67"/>
    </row>
    <row r="192" ht="15.75" spans="1:12">
      <c r="A192" s="71"/>
      <c r="B192" s="62"/>
      <c r="C192" s="63"/>
      <c r="D192" s="72"/>
      <c r="E192" s="63"/>
      <c r="F192" s="65"/>
      <c r="G192" s="65"/>
      <c r="H192" s="66"/>
      <c r="I192" s="65"/>
      <c r="J192" s="65"/>
      <c r="K192" s="66"/>
      <c r="L192" s="67"/>
    </row>
    <row r="193" ht="15.75" spans="1:12">
      <c r="A193" s="71"/>
      <c r="B193" s="62"/>
      <c r="C193" s="63"/>
      <c r="D193" s="72"/>
      <c r="E193" s="63"/>
      <c r="F193" s="65"/>
      <c r="G193" s="65"/>
      <c r="H193" s="66"/>
      <c r="I193" s="65"/>
      <c r="J193" s="65"/>
      <c r="K193" s="66"/>
      <c r="L193" s="67"/>
    </row>
    <row r="194" ht="15.75" spans="1:12">
      <c r="A194" s="71"/>
      <c r="B194" s="62"/>
      <c r="C194" s="63"/>
      <c r="D194" s="72"/>
      <c r="E194" s="63"/>
      <c r="F194" s="65"/>
      <c r="G194" s="65"/>
      <c r="H194" s="66"/>
      <c r="I194" s="65"/>
      <c r="J194" s="65"/>
      <c r="K194" s="66"/>
      <c r="L194" s="67"/>
    </row>
    <row r="195" ht="15.75" spans="1:12">
      <c r="A195" s="71"/>
      <c r="B195" s="62"/>
      <c r="C195" s="63"/>
      <c r="D195" s="72"/>
      <c r="E195" s="63"/>
      <c r="F195" s="65"/>
      <c r="G195" s="65"/>
      <c r="H195" s="66"/>
      <c r="I195" s="65"/>
      <c r="J195" s="65"/>
      <c r="K195" s="66"/>
      <c r="L195" s="67"/>
    </row>
    <row r="196" ht="15.75" spans="1:12">
      <c r="A196" s="71"/>
      <c r="B196" s="62"/>
      <c r="C196" s="63"/>
      <c r="D196" s="72"/>
      <c r="E196" s="63"/>
      <c r="F196" s="65"/>
      <c r="G196" s="65"/>
      <c r="H196" s="66"/>
      <c r="I196" s="65"/>
      <c r="J196" s="65"/>
      <c r="K196" s="66"/>
      <c r="L196" s="67"/>
    </row>
    <row r="197" ht="15.75" spans="1:12">
      <c r="A197" s="71"/>
      <c r="B197" s="62"/>
      <c r="C197" s="63"/>
      <c r="D197" s="72"/>
      <c r="E197" s="63"/>
      <c r="F197" s="65"/>
      <c r="G197" s="65"/>
      <c r="H197" s="66"/>
      <c r="I197" s="65"/>
      <c r="J197" s="65"/>
      <c r="K197" s="66"/>
      <c r="L197" s="67"/>
    </row>
    <row r="198" ht="15.75" spans="1:12">
      <c r="A198" s="71"/>
      <c r="B198" s="62"/>
      <c r="C198" s="63"/>
      <c r="D198" s="72"/>
      <c r="E198" s="63"/>
      <c r="F198" s="65"/>
      <c r="G198" s="65"/>
      <c r="H198" s="66"/>
      <c r="I198" s="65"/>
      <c r="J198" s="65"/>
      <c r="K198" s="66"/>
      <c r="L198" s="67"/>
    </row>
    <row r="199" ht="15.75" spans="1:12">
      <c r="A199" s="71"/>
      <c r="B199" s="62"/>
      <c r="C199" s="63"/>
      <c r="D199" s="72"/>
      <c r="E199" s="63"/>
      <c r="F199" s="65"/>
      <c r="G199" s="65"/>
      <c r="H199" s="66"/>
      <c r="I199" s="65"/>
      <c r="J199" s="65"/>
      <c r="K199" s="66"/>
      <c r="L199" s="67"/>
    </row>
    <row r="200" ht="15.75" spans="1:12">
      <c r="A200" s="71"/>
      <c r="B200" s="62"/>
      <c r="C200" s="63"/>
      <c r="D200" s="72"/>
      <c r="E200" s="63"/>
      <c r="F200" s="65"/>
      <c r="G200" s="65"/>
      <c r="H200" s="66"/>
      <c r="I200" s="65"/>
      <c r="J200" s="65"/>
      <c r="K200" s="66"/>
      <c r="L200" s="67"/>
    </row>
    <row r="201" ht="15.75" spans="1:12">
      <c r="A201" s="71"/>
      <c r="B201" s="62"/>
      <c r="C201" s="63"/>
      <c r="D201" s="72"/>
      <c r="E201" s="63"/>
      <c r="F201" s="65"/>
      <c r="G201" s="65"/>
      <c r="H201" s="66"/>
      <c r="I201" s="65"/>
      <c r="J201" s="65"/>
      <c r="K201" s="66"/>
      <c r="L201" s="67"/>
    </row>
    <row r="202" ht="15.75" spans="1:12">
      <c r="A202" s="71"/>
      <c r="B202" s="62"/>
      <c r="C202" s="63"/>
      <c r="D202" s="72"/>
      <c r="E202" s="63"/>
      <c r="F202" s="65"/>
      <c r="G202" s="65"/>
      <c r="H202" s="66"/>
      <c r="I202" s="65"/>
      <c r="J202" s="65"/>
      <c r="K202" s="66"/>
      <c r="L202" s="67"/>
    </row>
    <row r="203" ht="15.75" spans="1:12">
      <c r="A203" s="71"/>
      <c r="B203" s="62"/>
      <c r="C203" s="63"/>
      <c r="D203" s="72"/>
      <c r="E203" s="63"/>
      <c r="F203" s="65"/>
      <c r="G203" s="65"/>
      <c r="H203" s="66"/>
      <c r="I203" s="65"/>
      <c r="J203" s="65"/>
      <c r="K203" s="66"/>
      <c r="L203" s="67"/>
    </row>
    <row r="204" ht="15.75" spans="1:12">
      <c r="A204" s="71"/>
      <c r="B204" s="62"/>
      <c r="C204" s="63"/>
      <c r="D204" s="72"/>
      <c r="E204" s="63"/>
      <c r="F204" s="65"/>
      <c r="G204" s="65"/>
      <c r="H204" s="66"/>
      <c r="I204" s="65"/>
      <c r="J204" s="65"/>
      <c r="K204" s="66"/>
      <c r="L204" s="67"/>
    </row>
    <row r="205" ht="15.75" spans="1:12">
      <c r="A205" s="71"/>
      <c r="B205" s="62"/>
      <c r="C205" s="63"/>
      <c r="D205" s="72"/>
      <c r="E205" s="63"/>
      <c r="F205" s="65"/>
      <c r="G205" s="65"/>
      <c r="H205" s="66"/>
      <c r="I205" s="65"/>
      <c r="J205" s="65"/>
      <c r="K205" s="66"/>
      <c r="L205" s="67"/>
    </row>
    <row r="206" ht="15.75" spans="1:12">
      <c r="A206" s="71"/>
      <c r="B206" s="62"/>
      <c r="C206" s="63"/>
      <c r="D206" s="72"/>
      <c r="E206" s="63"/>
      <c r="F206" s="65"/>
      <c r="G206" s="65"/>
      <c r="H206" s="66"/>
      <c r="I206" s="65"/>
      <c r="J206" s="65"/>
      <c r="K206" s="66"/>
      <c r="L206" s="67"/>
    </row>
    <row r="207" ht="15.75" spans="1:12">
      <c r="A207" s="71"/>
      <c r="B207" s="62"/>
      <c r="C207" s="63"/>
      <c r="D207" s="72"/>
      <c r="E207" s="63"/>
      <c r="F207" s="65"/>
      <c r="G207" s="65"/>
      <c r="H207" s="66"/>
      <c r="I207" s="65"/>
      <c r="J207" s="65"/>
      <c r="K207" s="66"/>
      <c r="L207" s="67"/>
    </row>
    <row r="208" ht="15.75" spans="1:12">
      <c r="A208" s="71"/>
      <c r="B208" s="62"/>
      <c r="C208" s="63"/>
      <c r="D208" s="72"/>
      <c r="E208" s="63"/>
      <c r="F208" s="65"/>
      <c r="G208" s="65"/>
      <c r="H208" s="66"/>
      <c r="I208" s="65"/>
      <c r="J208" s="65"/>
      <c r="K208" s="66"/>
      <c r="L208" s="67"/>
    </row>
    <row r="209" ht="15.75" spans="1:12">
      <c r="A209" s="71"/>
      <c r="B209" s="62"/>
      <c r="C209" s="63"/>
      <c r="D209" s="72"/>
      <c r="E209" s="63"/>
      <c r="F209" s="65"/>
      <c r="G209" s="65"/>
      <c r="H209" s="66"/>
      <c r="I209" s="65"/>
      <c r="J209" s="65"/>
      <c r="K209" s="66"/>
      <c r="L209" s="67"/>
    </row>
    <row r="210" ht="15.75" spans="1:12">
      <c r="A210" s="71"/>
      <c r="B210" s="62"/>
      <c r="C210" s="63"/>
      <c r="D210" s="72"/>
      <c r="E210" s="63"/>
      <c r="F210" s="65"/>
      <c r="G210" s="65"/>
      <c r="H210" s="66"/>
      <c r="I210" s="65"/>
      <c r="J210" s="65"/>
      <c r="K210" s="66"/>
      <c r="L210" s="67"/>
    </row>
    <row r="211" ht="15.75" spans="1:12">
      <c r="A211" s="71"/>
      <c r="B211" s="62"/>
      <c r="C211" s="63"/>
      <c r="D211" s="72"/>
      <c r="E211" s="63"/>
      <c r="F211" s="65"/>
      <c r="G211" s="65"/>
      <c r="H211" s="66"/>
      <c r="I211" s="65"/>
      <c r="J211" s="65"/>
      <c r="K211" s="66"/>
      <c r="L211" s="67"/>
    </row>
    <row r="212" ht="15.75" spans="1:12">
      <c r="A212" s="71"/>
      <c r="B212" s="62"/>
      <c r="C212" s="63"/>
      <c r="D212" s="72"/>
      <c r="E212" s="63"/>
      <c r="F212" s="65"/>
      <c r="G212" s="65"/>
      <c r="H212" s="66"/>
      <c r="I212" s="65"/>
      <c r="J212" s="65"/>
      <c r="K212" s="66"/>
      <c r="L212" s="67"/>
    </row>
    <row r="213" ht="15.75" spans="1:12">
      <c r="A213" s="71"/>
      <c r="B213" s="62"/>
      <c r="C213" s="63"/>
      <c r="D213" s="72"/>
      <c r="E213" s="63"/>
      <c r="F213" s="65"/>
      <c r="G213" s="65"/>
      <c r="H213" s="66"/>
      <c r="I213" s="65"/>
      <c r="J213" s="65"/>
      <c r="K213" s="66"/>
      <c r="L213" s="67"/>
    </row>
    <row r="214" ht="15.75" spans="1:12">
      <c r="A214" s="71"/>
      <c r="B214" s="62"/>
      <c r="C214" s="63"/>
      <c r="D214" s="72"/>
      <c r="E214" s="63"/>
      <c r="F214" s="65"/>
      <c r="G214" s="65"/>
      <c r="H214" s="66"/>
      <c r="I214" s="65"/>
      <c r="J214" s="65"/>
      <c r="K214" s="66"/>
      <c r="L214" s="67"/>
    </row>
    <row r="215" ht="15.75" spans="1:12">
      <c r="A215" s="71"/>
      <c r="B215" s="62"/>
      <c r="C215" s="63"/>
      <c r="D215" s="72"/>
      <c r="E215" s="63"/>
      <c r="F215" s="65"/>
      <c r="G215" s="65"/>
      <c r="H215" s="66"/>
      <c r="I215" s="65"/>
      <c r="J215" s="65"/>
      <c r="K215" s="66"/>
      <c r="L215" s="67"/>
    </row>
    <row r="216" ht="15.75" spans="1:12">
      <c r="A216" s="71"/>
      <c r="B216" s="62"/>
      <c r="C216" s="63"/>
      <c r="D216" s="72"/>
      <c r="E216" s="63"/>
      <c r="F216" s="65"/>
      <c r="G216" s="65"/>
      <c r="H216" s="66"/>
      <c r="I216" s="65"/>
      <c r="J216" s="65"/>
      <c r="K216" s="66"/>
      <c r="L216" s="67"/>
    </row>
    <row r="217" ht="15.75" spans="1:12">
      <c r="A217" s="71"/>
      <c r="B217" s="62"/>
      <c r="C217" s="63"/>
      <c r="D217" s="72"/>
      <c r="E217" s="63"/>
      <c r="F217" s="65"/>
      <c r="G217" s="65"/>
      <c r="H217" s="66"/>
      <c r="I217" s="65"/>
      <c r="J217" s="65"/>
      <c r="K217" s="66"/>
      <c r="L217" s="67"/>
    </row>
    <row r="218" ht="15.75" spans="1:12">
      <c r="A218" s="71"/>
      <c r="B218" s="62"/>
      <c r="C218" s="63"/>
      <c r="D218" s="72"/>
      <c r="E218" s="63"/>
      <c r="F218" s="65"/>
      <c r="G218" s="65"/>
      <c r="H218" s="66"/>
      <c r="I218" s="65"/>
      <c r="J218" s="65"/>
      <c r="K218" s="66"/>
      <c r="L218" s="67"/>
    </row>
    <row r="219" ht="15.75" spans="1:12">
      <c r="A219" s="71"/>
      <c r="B219" s="62"/>
      <c r="C219" s="63"/>
      <c r="D219" s="72"/>
      <c r="E219" s="63"/>
      <c r="F219" s="65"/>
      <c r="G219" s="65"/>
      <c r="H219" s="66"/>
      <c r="I219" s="65"/>
      <c r="J219" s="65"/>
      <c r="K219" s="66"/>
      <c r="L219" s="67"/>
    </row>
    <row r="220" ht="15.75" spans="1:12">
      <c r="A220" s="71"/>
      <c r="B220" s="62"/>
      <c r="C220" s="63"/>
      <c r="D220" s="72"/>
      <c r="E220" s="63"/>
      <c r="F220" s="65"/>
      <c r="G220" s="65"/>
      <c r="H220" s="66"/>
      <c r="I220" s="65"/>
      <c r="J220" s="65"/>
      <c r="K220" s="66"/>
      <c r="L220" s="67"/>
    </row>
    <row r="221" ht="15.75" spans="1:12">
      <c r="A221" s="71"/>
      <c r="B221" s="62"/>
      <c r="C221" s="63"/>
      <c r="D221" s="72"/>
      <c r="E221" s="63"/>
      <c r="F221" s="65"/>
      <c r="G221" s="65"/>
      <c r="H221" s="66"/>
      <c r="I221" s="65"/>
      <c r="J221" s="65"/>
      <c r="K221" s="66"/>
      <c r="L221" s="67"/>
    </row>
    <row r="222" ht="15.75" spans="1:12">
      <c r="A222" s="71"/>
      <c r="B222" s="62"/>
      <c r="C222" s="63"/>
      <c r="D222" s="72"/>
      <c r="E222" s="63"/>
      <c r="F222" s="65"/>
      <c r="G222" s="65"/>
      <c r="H222" s="66"/>
      <c r="I222" s="65"/>
      <c r="J222" s="65"/>
      <c r="K222" s="66"/>
      <c r="L222" s="67"/>
    </row>
    <row r="223" ht="15.75" spans="1:12">
      <c r="A223" s="71"/>
      <c r="B223" s="62"/>
      <c r="C223" s="63"/>
      <c r="D223" s="72"/>
      <c r="E223" s="63"/>
      <c r="F223" s="65"/>
      <c r="G223" s="65"/>
      <c r="H223" s="66"/>
      <c r="I223" s="65"/>
      <c r="J223" s="65"/>
      <c r="K223" s="66"/>
      <c r="L223" s="67"/>
    </row>
    <row r="224" ht="15.75" spans="1:12">
      <c r="A224" s="71"/>
      <c r="B224" s="62"/>
      <c r="C224" s="63"/>
      <c r="D224" s="72"/>
      <c r="E224" s="63"/>
      <c r="F224" s="65"/>
      <c r="G224" s="65"/>
      <c r="H224" s="66"/>
      <c r="I224" s="65"/>
      <c r="J224" s="65"/>
      <c r="K224" s="66"/>
      <c r="L224" s="67"/>
    </row>
    <row r="225" ht="15.75" spans="1:12">
      <c r="A225" s="71"/>
      <c r="B225" s="62"/>
      <c r="C225" s="63"/>
      <c r="D225" s="72"/>
      <c r="E225" s="63"/>
      <c r="F225" s="65"/>
      <c r="G225" s="65"/>
      <c r="H225" s="66"/>
      <c r="I225" s="65"/>
      <c r="J225" s="65"/>
      <c r="K225" s="66"/>
      <c r="L225" s="67"/>
    </row>
    <row r="226" ht="15.75" spans="1:12">
      <c r="A226" s="71"/>
      <c r="B226" s="62"/>
      <c r="C226" s="63"/>
      <c r="D226" s="72"/>
      <c r="E226" s="63"/>
      <c r="F226" s="65"/>
      <c r="G226" s="65"/>
      <c r="H226" s="66"/>
      <c r="I226" s="65"/>
      <c r="J226" s="65"/>
      <c r="K226" s="66"/>
      <c r="L226" s="67"/>
    </row>
    <row r="227" ht="15.75" spans="1:12">
      <c r="A227" s="71"/>
      <c r="B227" s="62"/>
      <c r="C227" s="63"/>
      <c r="D227" s="72"/>
      <c r="E227" s="63"/>
      <c r="F227" s="65"/>
      <c r="G227" s="65"/>
      <c r="H227" s="66"/>
      <c r="I227" s="65"/>
      <c r="J227" s="65"/>
      <c r="K227" s="66"/>
      <c r="L227" s="67"/>
    </row>
    <row r="228" ht="15.75" spans="1:12">
      <c r="A228" s="71"/>
      <c r="B228" s="62"/>
      <c r="C228" s="63"/>
      <c r="D228" s="72"/>
      <c r="E228" s="63"/>
      <c r="F228" s="65"/>
      <c r="G228" s="65"/>
      <c r="H228" s="66"/>
      <c r="I228" s="65"/>
      <c r="J228" s="65"/>
      <c r="K228" s="66"/>
      <c r="L228" s="67"/>
    </row>
    <row r="229" ht="15.75" spans="1:12">
      <c r="A229" s="71"/>
      <c r="B229" s="62"/>
      <c r="C229" s="63"/>
      <c r="D229" s="72"/>
      <c r="E229" s="63"/>
      <c r="F229" s="65"/>
      <c r="G229" s="65"/>
      <c r="H229" s="66"/>
      <c r="I229" s="65"/>
      <c r="J229" s="65"/>
      <c r="K229" s="66"/>
      <c r="L229" s="67"/>
    </row>
    <row r="230" ht="15.75" spans="1:12">
      <c r="A230" s="71"/>
      <c r="B230" s="62"/>
      <c r="C230" s="63"/>
      <c r="D230" s="72"/>
      <c r="E230" s="63"/>
      <c r="F230" s="65"/>
      <c r="G230" s="65"/>
      <c r="H230" s="66"/>
      <c r="I230" s="65"/>
      <c r="J230" s="65"/>
      <c r="K230" s="66"/>
      <c r="L230" s="67"/>
    </row>
    <row r="231" ht="15.75" spans="1:12">
      <c r="A231" s="71"/>
      <c r="B231" s="62"/>
      <c r="C231" s="63"/>
      <c r="D231" s="72"/>
      <c r="E231" s="63"/>
      <c r="F231" s="65"/>
      <c r="G231" s="65"/>
      <c r="H231" s="66"/>
      <c r="I231" s="65"/>
      <c r="J231" s="65"/>
      <c r="K231" s="66"/>
      <c r="L231" s="67"/>
    </row>
    <row r="232" ht="15.75" spans="1:12">
      <c r="A232" s="71"/>
      <c r="B232" s="62"/>
      <c r="C232" s="63"/>
      <c r="D232" s="72"/>
      <c r="E232" s="63"/>
      <c r="F232" s="65"/>
      <c r="G232" s="65"/>
      <c r="H232" s="66"/>
      <c r="I232" s="65"/>
      <c r="J232" s="65"/>
      <c r="K232" s="66"/>
      <c r="L232" s="67"/>
    </row>
    <row r="233" ht="15.75" spans="1:12">
      <c r="A233" s="71"/>
      <c r="B233" s="62"/>
      <c r="C233" s="63"/>
      <c r="D233" s="72"/>
      <c r="E233" s="63"/>
      <c r="F233" s="65"/>
      <c r="G233" s="65"/>
      <c r="H233" s="66"/>
      <c r="I233" s="65"/>
      <c r="J233" s="65"/>
      <c r="K233" s="66"/>
      <c r="L233" s="67"/>
    </row>
    <row r="234" ht="15.75" spans="1:12">
      <c r="A234" s="71"/>
      <c r="B234" s="62"/>
      <c r="C234" s="63"/>
      <c r="D234" s="72"/>
      <c r="E234" s="63"/>
      <c r="F234" s="65"/>
      <c r="G234" s="65"/>
      <c r="H234" s="66"/>
      <c r="I234" s="65"/>
      <c r="J234" s="65"/>
      <c r="K234" s="66"/>
      <c r="L234" s="67"/>
    </row>
    <row r="235" ht="15.75" spans="1:12">
      <c r="A235" s="71"/>
      <c r="B235" s="62"/>
      <c r="C235" s="63"/>
      <c r="D235" s="72"/>
      <c r="E235" s="63"/>
      <c r="F235" s="65"/>
      <c r="G235" s="65"/>
      <c r="H235" s="66"/>
      <c r="I235" s="65"/>
      <c r="J235" s="65"/>
      <c r="K235" s="66"/>
      <c r="L235" s="67"/>
    </row>
    <row r="236" ht="15.75" spans="1:12">
      <c r="A236" s="71"/>
      <c r="B236" s="62"/>
      <c r="C236" s="63"/>
      <c r="D236" s="72"/>
      <c r="E236" s="63"/>
      <c r="F236" s="65"/>
      <c r="G236" s="65"/>
      <c r="H236" s="66"/>
      <c r="I236" s="65"/>
      <c r="J236" s="65"/>
      <c r="K236" s="66"/>
      <c r="L236" s="67"/>
    </row>
    <row r="237" ht="15.75" spans="1:12">
      <c r="A237" s="71"/>
      <c r="B237" s="62"/>
      <c r="C237" s="63"/>
      <c r="D237" s="72"/>
      <c r="E237" s="63"/>
      <c r="F237" s="65"/>
      <c r="G237" s="65"/>
      <c r="H237" s="66"/>
      <c r="I237" s="65"/>
      <c r="J237" s="65"/>
      <c r="K237" s="66"/>
      <c r="L237" s="67"/>
    </row>
    <row r="238" ht="15.75" spans="1:12">
      <c r="A238" s="71"/>
      <c r="B238" s="62"/>
      <c r="C238" s="63"/>
      <c r="D238" s="72"/>
      <c r="E238" s="63"/>
      <c r="F238" s="65"/>
      <c r="G238" s="65"/>
      <c r="H238" s="66"/>
      <c r="I238" s="65"/>
      <c r="J238" s="65"/>
      <c r="K238" s="66"/>
      <c r="L238" s="67"/>
    </row>
    <row r="239" ht="15.75" spans="1:12">
      <c r="A239" s="71"/>
      <c r="B239" s="62"/>
      <c r="C239" s="63"/>
      <c r="D239" s="72"/>
      <c r="E239" s="63"/>
      <c r="F239" s="65"/>
      <c r="G239" s="65"/>
      <c r="H239" s="66"/>
      <c r="I239" s="65"/>
      <c r="J239" s="65"/>
      <c r="K239" s="66"/>
      <c r="L239" s="67"/>
    </row>
    <row r="240" ht="15.75" spans="1:12">
      <c r="A240" s="71"/>
      <c r="B240" s="62"/>
      <c r="C240" s="63"/>
      <c r="D240" s="72"/>
      <c r="E240" s="63"/>
      <c r="F240" s="65"/>
      <c r="G240" s="65"/>
      <c r="H240" s="66"/>
      <c r="I240" s="65"/>
      <c r="J240" s="65"/>
      <c r="K240" s="66"/>
      <c r="L240" s="67"/>
    </row>
    <row r="241" ht="15.75" spans="1:12">
      <c r="A241" s="71"/>
      <c r="B241" s="62"/>
      <c r="C241" s="63"/>
      <c r="D241" s="72"/>
      <c r="E241" s="63"/>
      <c r="F241" s="65"/>
      <c r="G241" s="65"/>
      <c r="H241" s="66"/>
      <c r="I241" s="65"/>
      <c r="J241" s="65"/>
      <c r="K241" s="66"/>
      <c r="L241" s="67"/>
    </row>
    <row r="242" ht="15.75" spans="1:12">
      <c r="A242" s="71"/>
      <c r="B242" s="62"/>
      <c r="C242" s="63"/>
      <c r="D242" s="72"/>
      <c r="E242" s="63"/>
      <c r="F242" s="65"/>
      <c r="G242" s="65"/>
      <c r="H242" s="66"/>
      <c r="I242" s="65"/>
      <c r="J242" s="65"/>
      <c r="K242" s="66"/>
      <c r="L242" s="67"/>
    </row>
    <row r="243" ht="15.75" spans="1:12">
      <c r="A243" s="71"/>
      <c r="B243" s="62"/>
      <c r="C243" s="63"/>
      <c r="D243" s="72"/>
      <c r="E243" s="63"/>
      <c r="F243" s="65"/>
      <c r="G243" s="65"/>
      <c r="H243" s="66"/>
      <c r="I243" s="65"/>
      <c r="J243" s="65"/>
      <c r="K243" s="66"/>
      <c r="L243" s="67"/>
    </row>
    <row r="244" ht="15.75" spans="1:12">
      <c r="A244" s="71"/>
      <c r="B244" s="62"/>
      <c r="C244" s="63"/>
      <c r="D244" s="72"/>
      <c r="E244" s="63"/>
      <c r="F244" s="65"/>
      <c r="G244" s="65"/>
      <c r="H244" s="66"/>
      <c r="I244" s="65"/>
      <c r="J244" s="65"/>
      <c r="K244" s="66"/>
      <c r="L244" s="67"/>
    </row>
    <row r="245" ht="15.75" spans="1:12">
      <c r="A245" s="71"/>
      <c r="B245" s="62"/>
      <c r="C245" s="63"/>
      <c r="D245" s="72"/>
      <c r="E245" s="63"/>
      <c r="F245" s="65"/>
      <c r="G245" s="65"/>
      <c r="H245" s="66"/>
      <c r="I245" s="65"/>
      <c r="J245" s="65"/>
      <c r="K245" s="66"/>
      <c r="L245" s="67"/>
    </row>
    <row r="246" ht="15.75" spans="1:12">
      <c r="A246" s="71"/>
      <c r="B246" s="62"/>
      <c r="C246" s="63"/>
      <c r="D246" s="72"/>
      <c r="E246" s="63"/>
      <c r="F246" s="65"/>
      <c r="G246" s="65"/>
      <c r="H246" s="66"/>
      <c r="I246" s="65"/>
      <c r="J246" s="65"/>
      <c r="K246" s="66"/>
      <c r="L246" s="67"/>
    </row>
    <row r="247" ht="15.75" spans="1:12">
      <c r="A247" s="71"/>
      <c r="B247" s="62"/>
      <c r="C247" s="63"/>
      <c r="D247" s="72"/>
      <c r="E247" s="63"/>
      <c r="F247" s="65"/>
      <c r="G247" s="65"/>
      <c r="H247" s="66"/>
      <c r="I247" s="65"/>
      <c r="J247" s="65"/>
      <c r="K247" s="66"/>
      <c r="L247" s="67"/>
    </row>
    <row r="248" ht="15.75" spans="1:12">
      <c r="A248" s="71"/>
      <c r="B248" s="62"/>
      <c r="C248" s="63"/>
      <c r="D248" s="72"/>
      <c r="E248" s="63"/>
      <c r="F248" s="65"/>
      <c r="G248" s="65"/>
      <c r="H248" s="66"/>
      <c r="I248" s="65"/>
      <c r="J248" s="65"/>
      <c r="K248" s="66"/>
      <c r="L248" s="67"/>
    </row>
    <row r="249" ht="15.75" spans="1:12">
      <c r="A249" s="71"/>
      <c r="B249" s="62"/>
      <c r="C249" s="63"/>
      <c r="D249" s="72"/>
      <c r="E249" s="63"/>
      <c r="F249" s="65"/>
      <c r="G249" s="65"/>
      <c r="H249" s="66"/>
      <c r="I249" s="65"/>
      <c r="J249" s="65"/>
      <c r="K249" s="66"/>
      <c r="L249" s="67"/>
    </row>
    <row r="250" ht="15.75" spans="1:12">
      <c r="A250" s="71"/>
      <c r="B250" s="62"/>
      <c r="C250" s="63"/>
      <c r="D250" s="72"/>
      <c r="E250" s="63"/>
      <c r="F250" s="65"/>
      <c r="G250" s="65"/>
      <c r="H250" s="66"/>
      <c r="I250" s="65"/>
      <c r="J250" s="65"/>
      <c r="K250" s="66"/>
      <c r="L250" s="67"/>
    </row>
    <row r="251" ht="15.75" spans="1:12">
      <c r="A251" s="71"/>
      <c r="B251" s="62"/>
      <c r="C251" s="63"/>
      <c r="D251" s="72"/>
      <c r="E251" s="63"/>
      <c r="F251" s="65"/>
      <c r="G251" s="65"/>
      <c r="H251" s="66"/>
      <c r="I251" s="65"/>
      <c r="J251" s="65"/>
      <c r="K251" s="66"/>
      <c r="L251" s="67"/>
    </row>
    <row r="252" ht="15.75" spans="1:12">
      <c r="A252" s="71"/>
      <c r="B252" s="62"/>
      <c r="C252" s="63"/>
      <c r="D252" s="72"/>
      <c r="E252" s="63"/>
      <c r="F252" s="65"/>
      <c r="G252" s="65"/>
      <c r="H252" s="66"/>
      <c r="I252" s="65"/>
      <c r="J252" s="65"/>
      <c r="K252" s="66"/>
      <c r="L252" s="67"/>
    </row>
    <row r="253" ht="15.75" spans="1:12">
      <c r="A253" s="71"/>
      <c r="B253" s="62"/>
      <c r="C253" s="63"/>
      <c r="D253" s="72"/>
      <c r="E253" s="63"/>
      <c r="F253" s="65"/>
      <c r="G253" s="65"/>
      <c r="H253" s="66"/>
      <c r="I253" s="65"/>
      <c r="J253" s="65"/>
      <c r="K253" s="66"/>
      <c r="L253" s="67"/>
    </row>
    <row r="254" ht="15.75" spans="1:12">
      <c r="A254" s="71"/>
      <c r="B254" s="62"/>
      <c r="C254" s="63"/>
      <c r="D254" s="72"/>
      <c r="E254" s="63"/>
      <c r="F254" s="65"/>
      <c r="G254" s="65"/>
      <c r="H254" s="66"/>
      <c r="I254" s="65"/>
      <c r="J254" s="65"/>
      <c r="K254" s="66"/>
      <c r="L254" s="67"/>
    </row>
    <row r="255" ht="15.75" spans="1:12">
      <c r="A255" s="71"/>
      <c r="B255" s="62"/>
      <c r="C255" s="63"/>
      <c r="D255" s="72"/>
      <c r="E255" s="63"/>
      <c r="F255" s="65"/>
      <c r="G255" s="65"/>
      <c r="H255" s="66"/>
      <c r="I255" s="65"/>
      <c r="J255" s="65"/>
      <c r="K255" s="66"/>
      <c r="L255" s="67"/>
    </row>
    <row r="256" ht="15.75" spans="1:12">
      <c r="A256" s="71"/>
      <c r="B256" s="62"/>
      <c r="C256" s="63"/>
      <c r="D256" s="72"/>
      <c r="E256" s="63"/>
      <c r="F256" s="65"/>
      <c r="G256" s="65"/>
      <c r="H256" s="66"/>
      <c r="I256" s="65"/>
      <c r="J256" s="65"/>
      <c r="K256" s="66"/>
      <c r="L256" s="67"/>
    </row>
    <row r="257" ht="15.75" spans="1:12">
      <c r="A257" s="71"/>
      <c r="B257" s="62"/>
      <c r="C257" s="63"/>
      <c r="D257" s="72"/>
      <c r="E257" s="63"/>
      <c r="F257" s="65"/>
      <c r="G257" s="65"/>
      <c r="H257" s="66"/>
      <c r="I257" s="65"/>
      <c r="J257" s="65"/>
      <c r="K257" s="66"/>
      <c r="L257" s="67"/>
    </row>
    <row r="258" ht="15.75" spans="1:12">
      <c r="A258" s="71"/>
      <c r="B258" s="62"/>
      <c r="C258" s="63"/>
      <c r="D258" s="72"/>
      <c r="E258" s="63"/>
      <c r="F258" s="65"/>
      <c r="G258" s="65"/>
      <c r="H258" s="66"/>
      <c r="I258" s="65"/>
      <c r="J258" s="65"/>
      <c r="K258" s="66"/>
      <c r="L258" s="67"/>
    </row>
    <row r="259" ht="15.75" spans="1:12">
      <c r="A259" s="71"/>
      <c r="B259" s="62"/>
      <c r="C259" s="63"/>
      <c r="D259" s="72"/>
      <c r="E259" s="63"/>
      <c r="F259" s="65"/>
      <c r="G259" s="65"/>
      <c r="H259" s="66"/>
      <c r="I259" s="65"/>
      <c r="J259" s="65"/>
      <c r="K259" s="66"/>
      <c r="L259" s="67"/>
    </row>
    <row r="260" ht="15.75" spans="1:12">
      <c r="A260" s="71"/>
      <c r="B260" s="62"/>
      <c r="C260" s="63"/>
      <c r="D260" s="72"/>
      <c r="E260" s="63"/>
      <c r="F260" s="65"/>
      <c r="G260" s="65"/>
      <c r="H260" s="66"/>
      <c r="I260" s="65"/>
      <c r="J260" s="65"/>
      <c r="K260" s="66"/>
      <c r="L260" s="67"/>
    </row>
    <row r="261" ht="15.75" spans="1:12">
      <c r="A261" s="71"/>
      <c r="B261" s="62"/>
      <c r="C261" s="63"/>
      <c r="D261" s="72"/>
      <c r="E261" s="63"/>
      <c r="F261" s="65"/>
      <c r="G261" s="65"/>
      <c r="H261" s="66"/>
      <c r="I261" s="65"/>
      <c r="J261" s="65"/>
      <c r="K261" s="66"/>
      <c r="L261" s="67"/>
    </row>
    <row r="262" ht="15.75" spans="1:12">
      <c r="A262" s="71"/>
      <c r="B262" s="62"/>
      <c r="C262" s="63"/>
      <c r="D262" s="72"/>
      <c r="E262" s="63"/>
      <c r="F262" s="65"/>
      <c r="G262" s="65"/>
      <c r="H262" s="66"/>
      <c r="I262" s="65"/>
      <c r="J262" s="65"/>
      <c r="K262" s="66"/>
      <c r="L262" s="67"/>
    </row>
    <row r="263" ht="15.75" spans="1:12">
      <c r="A263" s="71"/>
      <c r="B263" s="62"/>
      <c r="C263" s="63"/>
      <c r="D263" s="72"/>
      <c r="E263" s="63"/>
      <c r="F263" s="65"/>
      <c r="G263" s="65"/>
      <c r="H263" s="66"/>
      <c r="I263" s="65"/>
      <c r="J263" s="65"/>
      <c r="K263" s="66"/>
      <c r="L263" s="67"/>
    </row>
    <row r="264" ht="15.75" spans="1:12">
      <c r="A264" s="71"/>
      <c r="B264" s="62"/>
      <c r="C264" s="63"/>
      <c r="D264" s="72"/>
      <c r="E264" s="63"/>
      <c r="F264" s="65"/>
      <c r="G264" s="65"/>
      <c r="H264" s="66"/>
      <c r="I264" s="65"/>
      <c r="J264" s="65"/>
      <c r="K264" s="66"/>
      <c r="L264" s="67"/>
    </row>
    <row r="265" ht="15.75" spans="1:12">
      <c r="A265" s="71"/>
      <c r="B265" s="62"/>
      <c r="C265" s="63"/>
      <c r="D265" s="72"/>
      <c r="E265" s="63"/>
      <c r="F265" s="65"/>
      <c r="G265" s="65"/>
      <c r="H265" s="66"/>
      <c r="I265" s="65"/>
      <c r="J265" s="65"/>
      <c r="K265" s="66"/>
      <c r="L265" s="67"/>
    </row>
    <row r="266" ht="15.75" spans="1:12">
      <c r="A266" s="71"/>
      <c r="B266" s="62"/>
      <c r="C266" s="63"/>
      <c r="D266" s="72"/>
      <c r="E266" s="63"/>
      <c r="F266" s="65"/>
      <c r="G266" s="65"/>
      <c r="H266" s="66"/>
      <c r="I266" s="65"/>
      <c r="J266" s="65"/>
      <c r="K266" s="66"/>
      <c r="L266" s="67"/>
    </row>
    <row r="267" ht="15.75" spans="1:12">
      <c r="A267" s="71"/>
      <c r="B267" s="62"/>
      <c r="C267" s="63"/>
      <c r="D267" s="72"/>
      <c r="E267" s="63"/>
      <c r="F267" s="65"/>
      <c r="G267" s="65"/>
      <c r="H267" s="66"/>
      <c r="I267" s="65"/>
      <c r="J267" s="65"/>
      <c r="K267" s="66"/>
      <c r="L267" s="67"/>
    </row>
    <row r="268" ht="15.75" spans="1:12">
      <c r="A268" s="71"/>
      <c r="B268" s="62"/>
      <c r="C268" s="63"/>
      <c r="D268" s="72"/>
      <c r="E268" s="63"/>
      <c r="F268" s="65"/>
      <c r="G268" s="65"/>
      <c r="H268" s="66"/>
      <c r="I268" s="65"/>
      <c r="J268" s="65"/>
      <c r="K268" s="66"/>
      <c r="L268" s="67"/>
    </row>
    <row r="269" ht="15.75" spans="1:12">
      <c r="A269" s="71"/>
      <c r="B269" s="62"/>
      <c r="C269" s="63"/>
      <c r="D269" s="72"/>
      <c r="E269" s="63"/>
      <c r="F269" s="65"/>
      <c r="G269" s="65"/>
      <c r="H269" s="66"/>
      <c r="I269" s="65"/>
      <c r="J269" s="65"/>
      <c r="K269" s="66"/>
      <c r="L269" s="67"/>
    </row>
    <row r="270" ht="15.75" spans="1:12">
      <c r="A270" s="71"/>
      <c r="B270" s="62"/>
      <c r="C270" s="63"/>
      <c r="D270" s="72"/>
      <c r="E270" s="63"/>
      <c r="F270" s="65"/>
      <c r="G270" s="65"/>
      <c r="H270" s="66"/>
      <c r="I270" s="65"/>
      <c r="J270" s="65"/>
      <c r="K270" s="66"/>
      <c r="L270" s="67"/>
    </row>
    <row r="271" ht="15.75" spans="1:12">
      <c r="A271" s="71"/>
      <c r="B271" s="62"/>
      <c r="C271" s="63"/>
      <c r="D271" s="72"/>
      <c r="E271" s="63"/>
      <c r="F271" s="65"/>
      <c r="G271" s="65"/>
      <c r="H271" s="66"/>
      <c r="I271" s="65"/>
      <c r="J271" s="65"/>
      <c r="K271" s="66"/>
      <c r="L271" s="67"/>
    </row>
    <row r="272" ht="15.75" spans="1:12">
      <c r="A272" s="71"/>
      <c r="B272" s="62"/>
      <c r="C272" s="63"/>
      <c r="D272" s="72"/>
      <c r="E272" s="63"/>
      <c r="F272" s="65"/>
      <c r="G272" s="65"/>
      <c r="H272" s="66"/>
      <c r="I272" s="65"/>
      <c r="J272" s="65"/>
      <c r="K272" s="66"/>
      <c r="L272" s="67"/>
    </row>
    <row r="273" ht="15.75" spans="1:12">
      <c r="A273" s="71"/>
      <c r="B273" s="62"/>
      <c r="C273" s="63"/>
      <c r="D273" s="72"/>
      <c r="E273" s="63"/>
      <c r="F273" s="65"/>
      <c r="G273" s="65"/>
      <c r="H273" s="66"/>
      <c r="I273" s="65"/>
      <c r="J273" s="65"/>
      <c r="K273" s="66"/>
      <c r="L273" s="67"/>
    </row>
    <row r="274" ht="15.75" spans="1:12">
      <c r="A274" s="71"/>
      <c r="B274" s="62"/>
      <c r="C274" s="63"/>
      <c r="D274" s="72"/>
      <c r="E274" s="63"/>
      <c r="F274" s="65"/>
      <c r="G274" s="65"/>
      <c r="H274" s="66"/>
      <c r="I274" s="65"/>
      <c r="J274" s="65"/>
      <c r="K274" s="66"/>
      <c r="L274" s="67"/>
    </row>
    <row r="275" ht="15.75" spans="1:12">
      <c r="A275" s="71"/>
      <c r="B275" s="62"/>
      <c r="C275" s="63"/>
      <c r="D275" s="72"/>
      <c r="E275" s="63"/>
      <c r="F275" s="65"/>
      <c r="G275" s="65"/>
      <c r="H275" s="66"/>
      <c r="I275" s="65"/>
      <c r="J275" s="65"/>
      <c r="K275" s="66"/>
      <c r="L275" s="67"/>
    </row>
    <row r="276" ht="15.75" spans="1:12">
      <c r="A276" s="71"/>
      <c r="B276" s="62"/>
      <c r="C276" s="63"/>
      <c r="D276" s="72"/>
      <c r="E276" s="63"/>
      <c r="F276" s="65"/>
      <c r="G276" s="65"/>
      <c r="H276" s="66"/>
      <c r="I276" s="65"/>
      <c r="J276" s="65"/>
      <c r="K276" s="66"/>
      <c r="L276" s="67"/>
    </row>
    <row r="277" ht="15.75" spans="1:12">
      <c r="A277" s="71"/>
      <c r="B277" s="62"/>
      <c r="C277" s="63"/>
      <c r="D277" s="72"/>
      <c r="E277" s="63"/>
      <c r="F277" s="65"/>
      <c r="G277" s="65"/>
      <c r="H277" s="66"/>
      <c r="I277" s="65"/>
      <c r="J277" s="65"/>
      <c r="K277" s="66"/>
      <c r="L277" s="67"/>
    </row>
    <row r="278" ht="15.75" spans="1:12">
      <c r="A278" s="71"/>
      <c r="B278" s="62"/>
      <c r="C278" s="63"/>
      <c r="D278" s="72"/>
      <c r="E278" s="63"/>
      <c r="F278" s="65"/>
      <c r="G278" s="65"/>
      <c r="H278" s="66"/>
      <c r="I278" s="65"/>
      <c r="J278" s="65"/>
      <c r="K278" s="66"/>
      <c r="L278" s="67"/>
    </row>
    <row r="279" ht="15.75" spans="1:12">
      <c r="A279" s="71"/>
      <c r="B279" s="62"/>
      <c r="C279" s="63"/>
      <c r="D279" s="72"/>
      <c r="E279" s="63"/>
      <c r="F279" s="65"/>
      <c r="G279" s="65"/>
      <c r="H279" s="66"/>
      <c r="I279" s="65"/>
      <c r="J279" s="65"/>
      <c r="K279" s="66"/>
      <c r="L279" s="67"/>
    </row>
    <row r="280" ht="15.75" spans="1:12">
      <c r="A280" s="71"/>
      <c r="B280" s="62"/>
      <c r="C280" s="63"/>
      <c r="D280" s="72"/>
      <c r="E280" s="63"/>
      <c r="F280" s="65"/>
      <c r="G280" s="65"/>
      <c r="H280" s="66"/>
      <c r="I280" s="65"/>
      <c r="J280" s="65"/>
      <c r="K280" s="66"/>
      <c r="L280" s="67"/>
    </row>
    <row r="281" ht="15.75" spans="1:12">
      <c r="A281" s="71"/>
      <c r="B281" s="62"/>
      <c r="C281" s="63"/>
      <c r="D281" s="72"/>
      <c r="E281" s="63"/>
      <c r="F281" s="65"/>
      <c r="G281" s="65"/>
      <c r="H281" s="66"/>
      <c r="I281" s="65"/>
      <c r="J281" s="65"/>
      <c r="K281" s="66"/>
      <c r="L281" s="67"/>
    </row>
    <row r="282" ht="15.75" spans="1:12">
      <c r="A282" s="71"/>
      <c r="B282" s="62"/>
      <c r="C282" s="63"/>
      <c r="D282" s="72"/>
      <c r="E282" s="63"/>
      <c r="F282" s="65"/>
      <c r="G282" s="65"/>
      <c r="H282" s="66"/>
      <c r="I282" s="65"/>
      <c r="J282" s="65"/>
      <c r="K282" s="66"/>
      <c r="L282" s="67"/>
    </row>
    <row r="283" ht="15.75" spans="1:12">
      <c r="A283" s="71"/>
      <c r="B283" s="62"/>
      <c r="C283" s="63"/>
      <c r="D283" s="72"/>
      <c r="E283" s="63"/>
      <c r="F283" s="65"/>
      <c r="G283" s="65"/>
      <c r="H283" s="66"/>
      <c r="I283" s="65"/>
      <c r="J283" s="65"/>
      <c r="K283" s="66"/>
      <c r="L283" s="67"/>
    </row>
    <row r="284" ht="15.75" spans="1:12">
      <c r="A284" s="71"/>
      <c r="B284" s="62"/>
      <c r="C284" s="63"/>
      <c r="D284" s="72"/>
      <c r="E284" s="63"/>
      <c r="F284" s="65"/>
      <c r="G284" s="65"/>
      <c r="H284" s="66"/>
      <c r="I284" s="65"/>
      <c r="J284" s="65"/>
      <c r="K284" s="66"/>
      <c r="L284" s="67"/>
    </row>
    <row r="285" ht="15.75" spans="1:12">
      <c r="A285" s="71"/>
      <c r="B285" s="62"/>
      <c r="C285" s="63"/>
      <c r="D285" s="72"/>
      <c r="E285" s="63"/>
      <c r="F285" s="65"/>
      <c r="G285" s="65"/>
      <c r="H285" s="66"/>
      <c r="I285" s="65"/>
      <c r="J285" s="65"/>
      <c r="K285" s="66"/>
      <c r="L285" s="67"/>
    </row>
    <row r="286" ht="15.75" spans="1:12">
      <c r="A286" s="71"/>
      <c r="B286" s="62"/>
      <c r="C286" s="63"/>
      <c r="D286" s="72"/>
      <c r="E286" s="63"/>
      <c r="F286" s="65"/>
      <c r="G286" s="65"/>
      <c r="H286" s="66"/>
      <c r="I286" s="65"/>
      <c r="J286" s="65"/>
      <c r="K286" s="66"/>
      <c r="L286" s="67"/>
    </row>
    <row r="287" ht="15.75" spans="1:12">
      <c r="A287" s="71"/>
      <c r="B287" s="62"/>
      <c r="C287" s="63"/>
      <c r="D287" s="72"/>
      <c r="E287" s="63"/>
      <c r="F287" s="65"/>
      <c r="G287" s="65"/>
      <c r="H287" s="66"/>
      <c r="I287" s="65"/>
      <c r="J287" s="65"/>
      <c r="K287" s="66"/>
      <c r="L287" s="67"/>
    </row>
    <row r="288" ht="15.75" spans="1:12">
      <c r="A288" s="71"/>
      <c r="B288" s="62"/>
      <c r="C288" s="63"/>
      <c r="D288" s="72"/>
      <c r="E288" s="63"/>
      <c r="F288" s="65"/>
      <c r="G288" s="65"/>
      <c r="H288" s="66"/>
      <c r="I288" s="65"/>
      <c r="J288" s="65"/>
      <c r="K288" s="66"/>
      <c r="L288" s="67"/>
    </row>
    <row r="289" ht="15.75" spans="1:12">
      <c r="A289" s="71"/>
      <c r="B289" s="62"/>
      <c r="C289" s="63"/>
      <c r="D289" s="72"/>
      <c r="E289" s="63"/>
      <c r="F289" s="65"/>
      <c r="G289" s="65"/>
      <c r="H289" s="66"/>
      <c r="I289" s="65"/>
      <c r="J289" s="65"/>
      <c r="K289" s="66"/>
      <c r="L289" s="67"/>
    </row>
    <row r="290" ht="15.75" spans="1:12">
      <c r="A290" s="71"/>
      <c r="B290" s="62"/>
      <c r="C290" s="63"/>
      <c r="D290" s="72"/>
      <c r="E290" s="63"/>
      <c r="F290" s="65"/>
      <c r="G290" s="65"/>
      <c r="H290" s="66"/>
      <c r="I290" s="65"/>
      <c r="J290" s="65"/>
      <c r="K290" s="66"/>
      <c r="L290" s="67"/>
    </row>
    <row r="291" ht="15.75" spans="1:12">
      <c r="A291" s="71"/>
      <c r="B291" s="62"/>
      <c r="C291" s="63"/>
      <c r="D291" s="72"/>
      <c r="E291" s="63"/>
      <c r="F291" s="65"/>
      <c r="G291" s="65"/>
      <c r="H291" s="66"/>
      <c r="I291" s="65"/>
      <c r="J291" s="65"/>
      <c r="K291" s="66"/>
      <c r="L291" s="67"/>
    </row>
    <row r="292" ht="15.75" spans="1:12">
      <c r="A292" s="71"/>
      <c r="B292" s="62"/>
      <c r="C292" s="63"/>
      <c r="D292" s="72"/>
      <c r="E292" s="63"/>
      <c r="F292" s="65"/>
      <c r="G292" s="65"/>
      <c r="H292" s="66"/>
      <c r="I292" s="65"/>
      <c r="J292" s="65"/>
      <c r="K292" s="66"/>
      <c r="L292" s="67"/>
    </row>
    <row r="293" ht="15.75" spans="1:12">
      <c r="A293" s="71"/>
      <c r="B293" s="62"/>
      <c r="C293" s="63"/>
      <c r="D293" s="72"/>
      <c r="E293" s="63"/>
      <c r="F293" s="65"/>
      <c r="G293" s="65"/>
      <c r="H293" s="66"/>
      <c r="I293" s="65"/>
      <c r="J293" s="65"/>
      <c r="K293" s="66"/>
      <c r="L293" s="67"/>
    </row>
    <row r="294" ht="15.75" spans="1:12">
      <c r="A294" s="71"/>
      <c r="B294" s="62"/>
      <c r="C294" s="63"/>
      <c r="D294" s="72"/>
      <c r="E294" s="63"/>
      <c r="F294" s="65"/>
      <c r="G294" s="65"/>
      <c r="H294" s="66"/>
      <c r="I294" s="65"/>
      <c r="J294" s="65"/>
      <c r="K294" s="66"/>
      <c r="L294" s="67"/>
    </row>
    <row r="295" ht="15.75" spans="1:12">
      <c r="A295" s="71"/>
      <c r="B295" s="62"/>
      <c r="C295" s="63"/>
      <c r="D295" s="72"/>
      <c r="E295" s="63"/>
      <c r="F295" s="65"/>
      <c r="G295" s="65"/>
      <c r="H295" s="66"/>
      <c r="I295" s="65"/>
      <c r="J295" s="65"/>
      <c r="K295" s="66"/>
      <c r="L295" s="67"/>
    </row>
    <row r="296" ht="15.75" spans="1:12">
      <c r="A296" s="71"/>
      <c r="B296" s="62"/>
      <c r="C296" s="63"/>
      <c r="D296" s="72"/>
      <c r="E296" s="63"/>
      <c r="F296" s="65"/>
      <c r="G296" s="65"/>
      <c r="H296" s="66"/>
      <c r="I296" s="65"/>
      <c r="J296" s="65"/>
      <c r="K296" s="66"/>
      <c r="L296" s="67"/>
    </row>
    <row r="297" ht="15.75" spans="1:12">
      <c r="A297" s="71"/>
      <c r="B297" s="62"/>
      <c r="C297" s="63"/>
      <c r="D297" s="72"/>
      <c r="E297" s="63"/>
      <c r="F297" s="65"/>
      <c r="G297" s="65"/>
      <c r="H297" s="66"/>
      <c r="I297" s="65"/>
      <c r="J297" s="65"/>
      <c r="K297" s="66"/>
      <c r="L297" s="67"/>
    </row>
    <row r="298" ht="15.75" spans="1:12">
      <c r="A298" s="71"/>
      <c r="B298" s="62"/>
      <c r="C298" s="63"/>
      <c r="D298" s="72"/>
      <c r="E298" s="63"/>
      <c r="F298" s="65"/>
      <c r="G298" s="65"/>
      <c r="H298" s="66"/>
      <c r="I298" s="65"/>
      <c r="J298" s="65"/>
      <c r="K298" s="66"/>
      <c r="L298" s="67"/>
    </row>
    <row r="299" ht="15.75" spans="1:12">
      <c r="A299" s="71"/>
      <c r="B299" s="62"/>
      <c r="C299" s="63"/>
      <c r="D299" s="72"/>
      <c r="E299" s="63"/>
      <c r="F299" s="65"/>
      <c r="G299" s="65"/>
      <c r="H299" s="66"/>
      <c r="I299" s="65"/>
      <c r="J299" s="65"/>
      <c r="K299" s="66"/>
      <c r="L299" s="67"/>
    </row>
    <row r="300" ht="15.75" spans="1:12">
      <c r="A300" s="71"/>
      <c r="B300" s="62"/>
      <c r="C300" s="63"/>
      <c r="D300" s="72"/>
      <c r="E300" s="63"/>
      <c r="F300" s="65"/>
      <c r="G300" s="65"/>
      <c r="H300" s="66"/>
      <c r="I300" s="65"/>
      <c r="J300" s="65"/>
      <c r="K300" s="66"/>
      <c r="L300" s="67"/>
    </row>
    <row r="301" ht="15.75" spans="1:12">
      <c r="A301" s="71"/>
      <c r="B301" s="62"/>
      <c r="C301" s="63"/>
      <c r="D301" s="72"/>
      <c r="E301" s="63"/>
      <c r="F301" s="65"/>
      <c r="G301" s="65"/>
      <c r="H301" s="66"/>
      <c r="I301" s="65"/>
      <c r="J301" s="65"/>
      <c r="K301" s="66"/>
      <c r="L301" s="67"/>
    </row>
    <row r="302" ht="15.75" spans="1:12">
      <c r="A302" s="71"/>
      <c r="B302" s="62"/>
      <c r="C302" s="63"/>
      <c r="D302" s="72"/>
      <c r="E302" s="63"/>
      <c r="F302" s="65"/>
      <c r="G302" s="65"/>
      <c r="H302" s="66"/>
      <c r="I302" s="65"/>
      <c r="J302" s="65"/>
      <c r="K302" s="66"/>
      <c r="L302" s="67"/>
    </row>
    <row r="303" ht="15.75" spans="1:12">
      <c r="A303" s="71"/>
      <c r="B303" s="62"/>
      <c r="C303" s="63"/>
      <c r="D303" s="72"/>
      <c r="E303" s="63"/>
      <c r="F303" s="65"/>
      <c r="G303" s="65"/>
      <c r="H303" s="66"/>
      <c r="I303" s="65"/>
      <c r="J303" s="65"/>
      <c r="K303" s="66"/>
      <c r="L303" s="67"/>
    </row>
    <row r="304" ht="15.75" spans="1:12">
      <c r="A304" s="71"/>
      <c r="B304" s="62"/>
      <c r="C304" s="63"/>
      <c r="D304" s="72"/>
      <c r="E304" s="63"/>
      <c r="F304" s="65"/>
      <c r="G304" s="65"/>
      <c r="H304" s="66"/>
      <c r="I304" s="65"/>
      <c r="J304" s="65"/>
      <c r="K304" s="66"/>
      <c r="L304" s="67"/>
    </row>
    <row r="305" ht="15.75" spans="1:12">
      <c r="A305" s="71"/>
      <c r="B305" s="62"/>
      <c r="C305" s="63"/>
      <c r="D305" s="72"/>
      <c r="E305" s="63"/>
      <c r="F305" s="65"/>
      <c r="G305" s="65"/>
      <c r="H305" s="66"/>
      <c r="I305" s="65"/>
      <c r="J305" s="65"/>
      <c r="K305" s="66"/>
      <c r="L305" s="67"/>
    </row>
  </sheetData>
  <mergeCells count="24">
    <mergeCell ref="B1:E1"/>
    <mergeCell ref="C7:E7"/>
    <mergeCell ref="B10:F10"/>
    <mergeCell ref="B11:F11"/>
    <mergeCell ref="B12:D12"/>
    <mergeCell ref="A1:A9"/>
    <mergeCell ref="A14:A21"/>
    <mergeCell ref="A22:A27"/>
    <mergeCell ref="A28:A35"/>
    <mergeCell ref="A36:A43"/>
    <mergeCell ref="A44:A46"/>
    <mergeCell ref="A47:A48"/>
    <mergeCell ref="A49:A55"/>
    <mergeCell ref="A56:A73"/>
    <mergeCell ref="A74:A83"/>
    <mergeCell ref="A84:A90"/>
    <mergeCell ref="A91:A101"/>
    <mergeCell ref="A102:A108"/>
    <mergeCell ref="A109:A114"/>
    <mergeCell ref="A115:A122"/>
    <mergeCell ref="B2:B6"/>
    <mergeCell ref="B7:B9"/>
    <mergeCell ref="C2:E6"/>
    <mergeCell ref="C8:E9"/>
  </mergeCells>
  <conditionalFormatting sqref="B14">
    <cfRule type="duplicateValues" dxfId="0" priority="82" stopIfTrue="1"/>
  </conditionalFormatting>
  <conditionalFormatting sqref="B15">
    <cfRule type="duplicateValues" dxfId="0" priority="81" stopIfTrue="1"/>
  </conditionalFormatting>
  <conditionalFormatting sqref="B16">
    <cfRule type="duplicateValues" dxfId="0" priority="80" stopIfTrue="1"/>
  </conditionalFormatting>
  <conditionalFormatting sqref="B17">
    <cfRule type="duplicateValues" dxfId="0" priority="79" stopIfTrue="1"/>
  </conditionalFormatting>
  <conditionalFormatting sqref="B18">
    <cfRule type="duplicateValues" dxfId="0" priority="78" stopIfTrue="1"/>
  </conditionalFormatting>
  <conditionalFormatting sqref="B19">
    <cfRule type="duplicateValues" dxfId="0" priority="77" stopIfTrue="1"/>
  </conditionalFormatting>
  <conditionalFormatting sqref="B20">
    <cfRule type="duplicateValues" dxfId="0" priority="76" stopIfTrue="1"/>
  </conditionalFormatting>
  <conditionalFormatting sqref="B21">
    <cfRule type="duplicateValues" dxfId="0" priority="74" stopIfTrue="1"/>
  </conditionalFormatting>
  <conditionalFormatting sqref="B22">
    <cfRule type="duplicateValues" dxfId="0" priority="73" stopIfTrue="1"/>
  </conditionalFormatting>
  <conditionalFormatting sqref="B23">
    <cfRule type="duplicateValues" dxfId="0" priority="72" stopIfTrue="1"/>
  </conditionalFormatting>
  <conditionalFormatting sqref="B26">
    <cfRule type="duplicateValues" dxfId="0" priority="64" stopIfTrue="1"/>
  </conditionalFormatting>
  <conditionalFormatting sqref="B28">
    <cfRule type="duplicateValues" dxfId="0" priority="67" stopIfTrue="1"/>
  </conditionalFormatting>
  <conditionalFormatting sqref="B30">
    <cfRule type="duplicateValues" dxfId="0" priority="61" stopIfTrue="1"/>
  </conditionalFormatting>
  <conditionalFormatting sqref="B31">
    <cfRule type="duplicateValues" dxfId="0" priority="68" stopIfTrue="1"/>
  </conditionalFormatting>
  <conditionalFormatting sqref="B32">
    <cfRule type="duplicateValues" dxfId="0" priority="54" stopIfTrue="1"/>
  </conditionalFormatting>
  <conditionalFormatting sqref="B35">
    <cfRule type="duplicateValues" dxfId="0" priority="63" stopIfTrue="1"/>
  </conditionalFormatting>
  <conditionalFormatting sqref="B37">
    <cfRule type="duplicateValues" dxfId="0" priority="60" stopIfTrue="1"/>
  </conditionalFormatting>
  <conditionalFormatting sqref="B39">
    <cfRule type="duplicateValues" dxfId="0" priority="65" stopIfTrue="1"/>
  </conditionalFormatting>
  <conditionalFormatting sqref="B40">
    <cfRule type="duplicateValues" dxfId="0" priority="59" stopIfTrue="1"/>
  </conditionalFormatting>
  <conditionalFormatting sqref="B41">
    <cfRule type="duplicateValues" dxfId="0" priority="52" stopIfTrue="1"/>
  </conditionalFormatting>
  <conditionalFormatting sqref="B42">
    <cfRule type="duplicateValues" dxfId="0" priority="42" stopIfTrue="1"/>
  </conditionalFormatting>
  <conditionalFormatting sqref="B43">
    <cfRule type="duplicateValues" dxfId="0" priority="31" stopIfTrue="1"/>
  </conditionalFormatting>
  <conditionalFormatting sqref="B45">
    <cfRule type="duplicateValues" dxfId="0" priority="58" stopIfTrue="1"/>
  </conditionalFormatting>
  <conditionalFormatting sqref="B47">
    <cfRule type="duplicateValues" dxfId="0" priority="51" stopIfTrue="1"/>
  </conditionalFormatting>
  <conditionalFormatting sqref="B48">
    <cfRule type="duplicateValues" dxfId="0" priority="30" stopIfTrue="1"/>
  </conditionalFormatting>
  <conditionalFormatting sqref="B49">
    <cfRule type="duplicateValues" dxfId="0" priority="50" stopIfTrue="1"/>
  </conditionalFormatting>
  <conditionalFormatting sqref="B50">
    <cfRule type="duplicateValues" dxfId="0" priority="29" stopIfTrue="1"/>
  </conditionalFormatting>
  <conditionalFormatting sqref="B55">
    <cfRule type="duplicateValues" dxfId="0" priority="45" stopIfTrue="1"/>
  </conditionalFormatting>
  <conditionalFormatting sqref="B56">
    <cfRule type="duplicateValues" dxfId="0" priority="28" stopIfTrue="1"/>
  </conditionalFormatting>
  <conditionalFormatting sqref="B58">
    <cfRule type="duplicateValues" dxfId="0" priority="9" stopIfTrue="1"/>
  </conditionalFormatting>
  <conditionalFormatting sqref="B59">
    <cfRule type="duplicateValues" dxfId="0" priority="27" stopIfTrue="1"/>
  </conditionalFormatting>
  <conditionalFormatting sqref="B60">
    <cfRule type="duplicateValues" dxfId="0" priority="38" stopIfTrue="1"/>
  </conditionalFormatting>
  <conditionalFormatting sqref="B61">
    <cfRule type="duplicateValues" dxfId="0" priority="35" stopIfTrue="1"/>
  </conditionalFormatting>
  <conditionalFormatting sqref="B63">
    <cfRule type="duplicateValues" dxfId="0" priority="6" stopIfTrue="1"/>
  </conditionalFormatting>
  <conditionalFormatting sqref="B64">
    <cfRule type="duplicateValues" dxfId="0" priority="5" stopIfTrue="1"/>
  </conditionalFormatting>
  <conditionalFormatting sqref="B67">
    <cfRule type="duplicateValues" dxfId="0" priority="56" stopIfTrue="1"/>
  </conditionalFormatting>
  <conditionalFormatting sqref="B68">
    <cfRule type="duplicateValues" dxfId="0" priority="55" stopIfTrue="1"/>
  </conditionalFormatting>
  <conditionalFormatting sqref="B69">
    <cfRule type="duplicateValues" dxfId="0" priority="41" stopIfTrue="1"/>
  </conditionalFormatting>
  <conditionalFormatting sqref="B70">
    <cfRule type="duplicateValues" dxfId="0" priority="49" stopIfTrue="1"/>
  </conditionalFormatting>
  <conditionalFormatting sqref="B71">
    <cfRule type="duplicateValues" dxfId="0" priority="48" stopIfTrue="1"/>
  </conditionalFormatting>
  <conditionalFormatting sqref="B72">
    <cfRule type="duplicateValues" dxfId="0" priority="47" stopIfTrue="1"/>
  </conditionalFormatting>
  <conditionalFormatting sqref="B73">
    <cfRule type="duplicateValues" dxfId="0" priority="46" stopIfTrue="1"/>
  </conditionalFormatting>
  <conditionalFormatting sqref="B74">
    <cfRule type="duplicateValues" dxfId="0" priority="44" stopIfTrue="1"/>
  </conditionalFormatting>
  <conditionalFormatting sqref="B75">
    <cfRule type="duplicateValues" dxfId="0" priority="43" stopIfTrue="1"/>
  </conditionalFormatting>
  <conditionalFormatting sqref="B76">
    <cfRule type="duplicateValues" dxfId="0" priority="40" stopIfTrue="1"/>
  </conditionalFormatting>
  <conditionalFormatting sqref="B77">
    <cfRule type="duplicateValues" dxfId="0" priority="39" stopIfTrue="1"/>
  </conditionalFormatting>
  <conditionalFormatting sqref="B78">
    <cfRule type="duplicateValues" dxfId="0" priority="37" stopIfTrue="1"/>
  </conditionalFormatting>
  <conditionalFormatting sqref="B79">
    <cfRule type="duplicateValues" dxfId="0" priority="36" stopIfTrue="1"/>
  </conditionalFormatting>
  <conditionalFormatting sqref="B80">
    <cfRule type="duplicateValues" dxfId="0" priority="34" stopIfTrue="1"/>
  </conditionalFormatting>
  <conditionalFormatting sqref="B81">
    <cfRule type="duplicateValues" dxfId="0" priority="33" stopIfTrue="1"/>
  </conditionalFormatting>
  <conditionalFormatting sqref="B82">
    <cfRule type="duplicateValues" dxfId="0" priority="32" stopIfTrue="1"/>
  </conditionalFormatting>
  <conditionalFormatting sqref="B83">
    <cfRule type="duplicateValues" dxfId="0" priority="26" stopIfTrue="1"/>
  </conditionalFormatting>
  <conditionalFormatting sqref="B84">
    <cfRule type="duplicateValues" dxfId="0" priority="25" stopIfTrue="1"/>
  </conditionalFormatting>
  <conditionalFormatting sqref="B85">
    <cfRule type="duplicateValues" dxfId="0" priority="24" stopIfTrue="1"/>
  </conditionalFormatting>
  <conditionalFormatting sqref="B86">
    <cfRule type="duplicateValues" dxfId="0" priority="23" stopIfTrue="1"/>
  </conditionalFormatting>
  <conditionalFormatting sqref="B87">
    <cfRule type="duplicateValues" dxfId="0" priority="22" stopIfTrue="1"/>
  </conditionalFormatting>
  <conditionalFormatting sqref="B88">
    <cfRule type="duplicateValues" dxfId="0" priority="21" stopIfTrue="1"/>
  </conditionalFormatting>
  <conditionalFormatting sqref="B89">
    <cfRule type="duplicateValues" dxfId="0" priority="20" stopIfTrue="1"/>
  </conditionalFormatting>
  <conditionalFormatting sqref="B90">
    <cfRule type="duplicateValues" dxfId="0" priority="19" stopIfTrue="1"/>
  </conditionalFormatting>
  <conditionalFormatting sqref="B91">
    <cfRule type="duplicateValues" dxfId="0" priority="18" stopIfTrue="1"/>
  </conditionalFormatting>
  <conditionalFormatting sqref="B92">
    <cfRule type="duplicateValues" dxfId="0" priority="17" stopIfTrue="1"/>
  </conditionalFormatting>
  <conditionalFormatting sqref="B93">
    <cfRule type="duplicateValues" dxfId="0" priority="16" stopIfTrue="1"/>
  </conditionalFormatting>
  <conditionalFormatting sqref="B94">
    <cfRule type="duplicateValues" dxfId="0" priority="15" stopIfTrue="1"/>
  </conditionalFormatting>
  <conditionalFormatting sqref="B95">
    <cfRule type="duplicateValues" dxfId="0" priority="14" stopIfTrue="1"/>
  </conditionalFormatting>
  <conditionalFormatting sqref="B96">
    <cfRule type="duplicateValues" dxfId="0" priority="13" stopIfTrue="1"/>
  </conditionalFormatting>
  <conditionalFormatting sqref="B97">
    <cfRule type="duplicateValues" dxfId="0" priority="12" stopIfTrue="1"/>
  </conditionalFormatting>
  <conditionalFormatting sqref="B98">
    <cfRule type="duplicateValues" dxfId="0" priority="11" stopIfTrue="1"/>
  </conditionalFormatting>
  <conditionalFormatting sqref="B99">
    <cfRule type="duplicateValues" dxfId="0" priority="10" stopIfTrue="1"/>
  </conditionalFormatting>
  <conditionalFormatting sqref="B100">
    <cfRule type="duplicateValues" dxfId="0" priority="8" stopIfTrue="1"/>
  </conditionalFormatting>
  <conditionalFormatting sqref="B101">
    <cfRule type="duplicateValues" dxfId="0" priority="7" stopIfTrue="1"/>
  </conditionalFormatting>
  <conditionalFormatting sqref="B105">
    <cfRule type="duplicateValues" dxfId="0" priority="3" stopIfTrue="1"/>
  </conditionalFormatting>
  <conditionalFormatting sqref="B106">
    <cfRule type="duplicateValues" dxfId="0" priority="75" stopIfTrue="1"/>
  </conditionalFormatting>
  <conditionalFormatting sqref="B107">
    <cfRule type="duplicateValues" dxfId="0" priority="71" stopIfTrue="1"/>
  </conditionalFormatting>
  <conditionalFormatting sqref="B108">
    <cfRule type="duplicateValues" dxfId="0" priority="66" stopIfTrue="1"/>
  </conditionalFormatting>
  <conditionalFormatting sqref="B24:B65">
    <cfRule type="duplicateValues" dxfId="0" priority="69" stopIfTrue="1"/>
  </conditionalFormatting>
  <conditionalFormatting sqref="B27:B28">
    <cfRule type="duplicateValues" dxfId="0" priority="70" stopIfTrue="1"/>
  </conditionalFormatting>
  <conditionalFormatting sqref="B27:B66">
    <cfRule type="duplicateValues" dxfId="0" priority="62" stopIfTrue="1"/>
  </conditionalFormatting>
  <conditionalFormatting sqref="B31:B66">
    <cfRule type="duplicateValues" dxfId="0" priority="57" stopIfTrue="1"/>
  </conditionalFormatting>
  <conditionalFormatting sqref="B65:B305">
    <cfRule type="duplicateValues" dxfId="0" priority="2" stopIfTrue="1"/>
  </conditionalFormatting>
  <conditionalFormatting sqref="B67:B69">
    <cfRule type="duplicateValues" dxfId="0" priority="53" stopIfTrue="1"/>
  </conditionalFormatting>
  <conditionalFormatting sqref="B67:B104">
    <cfRule type="duplicateValues" dxfId="0" priority="4" stopIfTrue="1"/>
  </conditionalFormatting>
  <pageMargins left="0.7" right="0.7" top="0.75" bottom="0.75" header="0.3" footer="0.3"/>
  <headerFooter/>
  <legacy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4:K15"/>
  <sheetViews>
    <sheetView workbookViewId="0">
      <selection activeCell="K20" sqref="K20"/>
    </sheetView>
  </sheetViews>
  <sheetFormatPr defaultColWidth="14" defaultRowHeight="12.75"/>
  <cols>
    <col min="1" max="1" width="10.2857142857143" customWidth="1"/>
    <col min="2" max="2" width="14.1428571428571" customWidth="1"/>
    <col min="3" max="4" width="9.14285714285714" customWidth="1"/>
    <col min="5" max="5" width="15.1428571428571" customWidth="1"/>
    <col min="6" max="6" width="16.2857142857143" customWidth="1"/>
    <col min="7" max="7" width="11" customWidth="1"/>
    <col min="8" max="8" width="14.1428571428571" customWidth="1"/>
    <col min="9" max="10" width="9.14285714285714" customWidth="1"/>
    <col min="11" max="11" width="18.7142857142857" customWidth="1"/>
  </cols>
  <sheetData>
    <row r="4" ht="27" customHeight="1" spans="1:11">
      <c r="A4" s="1"/>
      <c r="B4" s="2" t="s">
        <v>393</v>
      </c>
      <c r="C4" s="3" t="s">
        <v>118</v>
      </c>
      <c r="D4" s="4"/>
      <c r="E4" s="5" t="s">
        <v>394</v>
      </c>
      <c r="F4" s="1">
        <v>280</v>
      </c>
      <c r="G4" s="6"/>
      <c r="H4" s="7"/>
    </row>
    <row r="5" ht="15.75" spans="1:11">
      <c r="A5" s="8" t="s">
        <v>395</v>
      </c>
      <c r="B5" s="9" t="s">
        <v>45</v>
      </c>
      <c r="C5" s="10" t="s">
        <v>46</v>
      </c>
      <c r="D5" s="10" t="s">
        <v>47</v>
      </c>
      <c r="E5" s="11" t="s">
        <v>48</v>
      </c>
      <c r="F5" s="12" t="s">
        <v>396</v>
      </c>
      <c r="G5" s="12" t="s">
        <v>397</v>
      </c>
      <c r="H5" s="9" t="s">
        <v>45</v>
      </c>
      <c r="I5" s="9" t="s">
        <v>46</v>
      </c>
      <c r="J5" s="9" t="s">
        <v>47</v>
      </c>
      <c r="K5" s="13" t="s">
        <v>51</v>
      </c>
    </row>
    <row r="6" spans="1:11">
      <c r="A6" s="8" t="s">
        <v>398</v>
      </c>
      <c r="B6" s="14">
        <f>IFERROR(VLOOKUP($C$4,美森360!$B:$K,5,0),"-")</f>
        <v>12.5357684630739</v>
      </c>
      <c r="C6" s="14">
        <f>IFERROR(VLOOKUP($C$4,美森360!$B:$K,6,0),"-")</f>
        <v>11.8772854291417</v>
      </c>
      <c r="D6" s="14" t="str">
        <f>IFERROR(VLOOKUP($C$4,美森360!$B:$K,7,0),"-")</f>
        <v/>
      </c>
      <c r="E6" s="14">
        <f>IFERROR(VLOOKUP($C$4,美森360!$B:$K,8,0),"-")</f>
        <v>2200.50666666667</v>
      </c>
      <c r="F6" s="14">
        <f>IFERROR(VLOOKUP($C$4,美森360!$B:$K,9,0),"-")</f>
        <v>1983.50666666667</v>
      </c>
      <c r="G6" s="15" t="str">
        <f>IFERROR(VLOOKUP($C$4,美森360!$B:$K,10,0),"-")</f>
        <v/>
      </c>
      <c r="H6" s="14">
        <f t="shared" ref="H6:H15" si="0">IFERROR(E6/$F$4,"-")</f>
        <v>7.85895238095238</v>
      </c>
      <c r="I6" s="16">
        <f t="shared" ref="I6:I15" si="1">IFERROR(F6/$F$4,"-")</f>
        <v>7.08395238095238</v>
      </c>
      <c r="J6" s="14" t="str">
        <f t="shared" ref="J6:J15" si="2">IFERROR(G6/$F$4,"-")</f>
        <v>-</v>
      </c>
      <c r="K6" s="17">
        <f>IFERROR(VLOOKUP($C$4,美森360!$B:$L,11,0),"-")</f>
        <v>0</v>
      </c>
    </row>
    <row r="7" ht="18.95" customHeight="1" spans="1:11">
      <c r="A7" s="8" t="s">
        <v>399</v>
      </c>
      <c r="B7" s="14">
        <f>IFERROR(VLOOKUP($C$4,美森432!$B:$K,5,0),"-")</f>
        <v>11.9629141716567</v>
      </c>
      <c r="C7" s="14">
        <f>IFERROR(VLOOKUP($C$4,美森432!$B:$K,6,0),"-")</f>
        <v>11.3044311377246</v>
      </c>
      <c r="D7" s="14" t="str">
        <f>IFERROR(VLOOKUP($C$4,美森432!$B:$K,7,0),"-")</f>
        <v/>
      </c>
      <c r="E7" s="14">
        <f>IFERROR(VLOOKUP($C$4,美森432!$B:$K,8,0),"-")</f>
        <v>2104.84</v>
      </c>
      <c r="F7" s="14">
        <f>IFERROR(VLOOKUP($C$4,美森432!$B:$K,9,0),"-")</f>
        <v>1887.84</v>
      </c>
      <c r="G7" s="15" t="str">
        <f>IFERROR(VLOOKUP($C$4,美森432!$B:$K,10,0),"-")</f>
        <v/>
      </c>
      <c r="H7" s="14">
        <f t="shared" si="0"/>
        <v>7.51728571428572</v>
      </c>
      <c r="I7" s="16">
        <f t="shared" si="1"/>
        <v>6.74228571428571</v>
      </c>
      <c r="J7" s="14" t="str">
        <f t="shared" si="2"/>
        <v>-</v>
      </c>
      <c r="K7" s="17">
        <f>IFERROR(VLOOKUP($C$4,美森432!$B:$L,11,0),"-")</f>
        <v>0</v>
      </c>
    </row>
    <row r="8" spans="1:11">
      <c r="A8" s="8" t="s">
        <v>400</v>
      </c>
      <c r="B8" s="14">
        <f>IFERROR(VLOOKUP($C$4,'EX456'!$B:$K,5,0),"-")</f>
        <v>8.79021956087824</v>
      </c>
      <c r="C8" s="14">
        <f>IFERROR(VLOOKUP($C$4,'EX456'!$B:$K,6,0),"-")</f>
        <v>8.17644710578842</v>
      </c>
      <c r="D8" s="14" t="str">
        <f>IFERROR(VLOOKUP($C$4,'EX456'!$B:$K,7,0),"-")</f>
        <v/>
      </c>
      <c r="E8" s="14">
        <f>IFERROR(VLOOKUP($C$4,'EX456'!$B:$K,8,0),"-")</f>
        <v>1575</v>
      </c>
      <c r="F8" s="14">
        <f>IFERROR(VLOOKUP($C$4,'EX456'!$B:$K,9,0),"-")</f>
        <v>1365.46666666667</v>
      </c>
      <c r="G8" s="15" t="str">
        <f>IFERROR(VLOOKUP($C$4,'EX456'!$B:$K,10,0),"-")</f>
        <v/>
      </c>
      <c r="H8" s="14">
        <f t="shared" si="0"/>
        <v>5.625</v>
      </c>
      <c r="I8" s="16">
        <f t="shared" si="1"/>
        <v>4.87666666666667</v>
      </c>
      <c r="J8" s="14" t="str">
        <f t="shared" si="2"/>
        <v>-</v>
      </c>
      <c r="K8" s="17">
        <f>IFERROR(VLOOKUP($C$4,'EX456'!$B:$L,11,0),"-")</f>
        <v>0</v>
      </c>
    </row>
    <row r="9" spans="1:11">
      <c r="A9" s="8" t="s">
        <v>401</v>
      </c>
      <c r="B9" s="14">
        <f>IFERROR(VLOOKUP($C$4,洛杉矶600!$B:$K,5,0),"-")</f>
        <v>7.57684630738523</v>
      </c>
      <c r="C9" s="14">
        <f>IFERROR(VLOOKUP($C$4,洛杉矶600!$B:$K,6,0),"-")</f>
        <v>6.25948103792415</v>
      </c>
      <c r="D9" s="14" t="str">
        <f>IFERROR(VLOOKUP($C$4,洛杉矶600!$B:$K,7,0),"-")</f>
        <v/>
      </c>
      <c r="E9" s="14">
        <f>IFERROR(VLOOKUP($C$4,洛杉矶600!$B:$K,8,0),"-")</f>
        <v>1375.11111111111</v>
      </c>
      <c r="F9" s="14">
        <f>IFERROR(VLOOKUP($C$4,洛杉矶600!$B:$K,9,0),"-")</f>
        <v>1045.33333333333</v>
      </c>
      <c r="G9" s="15" t="str">
        <f>IFERROR(VLOOKUP($C$4,洛杉矶600!$B:$K,10,0),"-")</f>
        <v/>
      </c>
      <c r="H9" s="14">
        <f t="shared" si="0"/>
        <v>4.91111111111111</v>
      </c>
      <c r="I9" s="16">
        <f t="shared" si="1"/>
        <v>3.73333333333333</v>
      </c>
      <c r="J9" s="14" t="str">
        <f t="shared" si="2"/>
        <v>-</v>
      </c>
      <c r="K9" s="17">
        <f>IFERROR(VLOOKUP($C$4,洛杉矶600!$B:$L,11,0),"-")</f>
        <v>0</v>
      </c>
    </row>
    <row r="10" spans="1:11">
      <c r="A10" s="8" t="s">
        <v>402</v>
      </c>
      <c r="B10" s="14" t="str">
        <f>IFERROR(VLOOKUP($C$4,奥克兰744!$B:$K,5,0),"-")</f>
        <v>-</v>
      </c>
      <c r="C10" s="14" t="str">
        <f>IFERROR(VLOOKUP($C$4,奥克兰744!$B:$K,6,0),"-")</f>
        <v>-</v>
      </c>
      <c r="D10" s="14" t="str">
        <f>IFERROR(VLOOKUP($C$4,奥克兰744!$B:$K,7,0),"-")</f>
        <v>-</v>
      </c>
      <c r="E10" s="14" t="str">
        <f>IFERROR(VLOOKUP($C$4,奥克兰744!$B:$K,8,0),"-")</f>
        <v>-</v>
      </c>
      <c r="F10" s="14" t="str">
        <f>IFERROR(VLOOKUP($C$4,奥克兰744!$B:$K,9,0),"-")</f>
        <v>-</v>
      </c>
      <c r="G10" s="15" t="str">
        <f>IFERROR(VLOOKUP($C$4,奥克兰744!$B:$K,10,0),"-")</f>
        <v>-</v>
      </c>
      <c r="H10" s="14" t="str">
        <f t="shared" si="0"/>
        <v>-</v>
      </c>
      <c r="I10" s="16" t="str">
        <f t="shared" si="1"/>
        <v>-</v>
      </c>
      <c r="J10" s="14" t="str">
        <f t="shared" si="2"/>
        <v>-</v>
      </c>
      <c r="K10" s="17" t="str">
        <f>IFERROR(VLOOKUP($C$4,奥克兰744!$B:$L,11,0),"-")</f>
        <v>-</v>
      </c>
    </row>
    <row r="11" spans="1:11">
      <c r="A11" s="8" t="s">
        <v>403</v>
      </c>
      <c r="B11" s="14" t="str">
        <f>IFERROR(VLOOKUP($C$4,西雅图788!$B:$K,5,0),"-")</f>
        <v>-</v>
      </c>
      <c r="C11" s="14" t="str">
        <f>IFERROR(VLOOKUP($C$4,西雅图788!$B:$K,6,0),"-")</f>
        <v>-</v>
      </c>
      <c r="D11" s="14" t="str">
        <f>IFERROR(VLOOKUP($C$4,西雅图788!$B:$K,7,0),"-")</f>
        <v>-</v>
      </c>
      <c r="E11" s="14" t="str">
        <f>IFERROR(VLOOKUP($C$4,西雅图788!$B:$K,8,0),"-")</f>
        <v>-</v>
      </c>
      <c r="F11" s="14" t="str">
        <f>IFERROR(VLOOKUP($C$4,西雅图788!$B:$K,9,0),"-")</f>
        <v>-</v>
      </c>
      <c r="G11" s="15" t="str">
        <f>IFERROR(VLOOKUP($C$4,西雅图788!$B:$K,10,0),"-")</f>
        <v>-</v>
      </c>
      <c r="H11" s="14" t="str">
        <f t="shared" si="0"/>
        <v>-</v>
      </c>
      <c r="I11" s="16" t="str">
        <f t="shared" si="1"/>
        <v>-</v>
      </c>
      <c r="J11" s="14" t="str">
        <f t="shared" si="2"/>
        <v>-</v>
      </c>
      <c r="K11" s="17" t="str">
        <f>IFERROR(VLOOKUP($C$4,西雅图788!$B:$L,11,0),"-")</f>
        <v>-</v>
      </c>
    </row>
    <row r="12" spans="1:11">
      <c r="A12" s="8" t="s">
        <v>404</v>
      </c>
      <c r="B12" s="14">
        <f>IFERROR(VLOOKUP($C$4,芝加哥840!$B:$K,5,0),"-")</f>
        <v>5.824</v>
      </c>
      <c r="C12" s="14">
        <f>IFERROR(VLOOKUP($C$4,芝加哥840!$B:$K,6,0),"-")</f>
        <v>5.64</v>
      </c>
      <c r="D12" s="14" t="str">
        <f>IFERROR(VLOOKUP($C$4,芝加哥840!$B:$K,7,0),"-")</f>
        <v/>
      </c>
      <c r="E12" s="14">
        <f>IFERROR(VLOOKUP($C$4,芝加哥840!$B:$K,8,0),"-")</f>
        <v>992.888888888889</v>
      </c>
      <c r="F12" s="14">
        <f>IFERROR(VLOOKUP($C$4,芝加哥840!$B:$K,9,0),"-")</f>
        <v>940</v>
      </c>
      <c r="G12" s="15" t="str">
        <f>IFERROR(VLOOKUP($C$4,芝加哥840!$B:$K,10,0),"-")</f>
        <v/>
      </c>
      <c r="H12" s="14">
        <f t="shared" si="0"/>
        <v>3.54603174603175</v>
      </c>
      <c r="I12" s="16">
        <f t="shared" si="1"/>
        <v>3.35714285714286</v>
      </c>
      <c r="J12" s="14" t="str">
        <f t="shared" si="2"/>
        <v>-</v>
      </c>
      <c r="K12" s="17">
        <f>IFERROR(VLOOKUP($C$4,芝加哥840!$B:$L,11,0),"-")</f>
        <v>7</v>
      </c>
    </row>
    <row r="13" spans="1:11">
      <c r="A13" s="8" t="s">
        <v>405</v>
      </c>
      <c r="B13" s="14" t="str">
        <f>IFERROR(VLOOKUP($C$4,休斯顿866!$B:$K,5,0),"-")</f>
        <v>-</v>
      </c>
      <c r="C13" s="14" t="str">
        <f>IFERROR(VLOOKUP($C$4,休斯顿866!$B:$K,6,0),"-")</f>
        <v>-</v>
      </c>
      <c r="D13" s="14" t="str">
        <f>IFERROR(VLOOKUP($C$4,休斯顿866!$B:$K,7,0),"-")</f>
        <v>-</v>
      </c>
      <c r="E13" s="14"/>
      <c r="F13" s="14" t="str">
        <f>IFERROR(VLOOKUP($C$4,休斯顿866!$B:$K,9,0),"-")</f>
        <v>-</v>
      </c>
      <c r="G13" s="15" t="str">
        <f>IFERROR(VLOOKUP($C$4,休斯顿866!$B:$K,10,0),"-")</f>
        <v>-</v>
      </c>
      <c r="H13" s="14">
        <f t="shared" si="0"/>
        <v>0</v>
      </c>
      <c r="I13" s="16" t="str">
        <f t="shared" si="1"/>
        <v>-</v>
      </c>
      <c r="J13" s="14" t="str">
        <f t="shared" si="2"/>
        <v>-</v>
      </c>
      <c r="K13" s="17" t="str">
        <f>IFERROR(VLOOKUP($C$4,休斯顿866!$B:$L,11,0),"-")</f>
        <v>-</v>
      </c>
    </row>
    <row r="14" spans="1:11">
      <c r="A14" s="8" t="s">
        <v>406</v>
      </c>
      <c r="B14" s="14" t="str">
        <f>IFERROR(VLOOKUP($C$4,萨凡纳888!$B:$K,5,0),"-")</f>
        <v>-</v>
      </c>
      <c r="C14" s="14" t="str">
        <f>IFERROR(VLOOKUP($C$4,萨凡纳888!$B:$K,6,0),"-")</f>
        <v>-</v>
      </c>
      <c r="D14" s="14" t="str">
        <f>IFERROR(VLOOKUP($C$4,萨凡纳888!$B:$K,7,0),"-")</f>
        <v>-</v>
      </c>
      <c r="E14" s="14" t="str">
        <f>IFERROR(VLOOKUP($C$4,萨凡纳888!$B:$K,8,0),"-")</f>
        <v>-</v>
      </c>
      <c r="F14" s="14" t="str">
        <f>IFERROR(VLOOKUP($C$4,萨凡纳888!$B:$K,9,0),"-")</f>
        <v>-</v>
      </c>
      <c r="G14" s="15" t="str">
        <f>IFERROR(VLOOKUP($C$4,萨凡纳888!$B:$K,10,0),"-")</f>
        <v>-</v>
      </c>
      <c r="H14" s="14" t="str">
        <f t="shared" si="0"/>
        <v>-</v>
      </c>
      <c r="I14" s="16" t="str">
        <f t="shared" si="1"/>
        <v>-</v>
      </c>
      <c r="J14" s="14" t="str">
        <f t="shared" si="2"/>
        <v>-</v>
      </c>
      <c r="K14" s="17" t="str">
        <f>IFERROR(VLOOKUP($C$4,萨凡纳888!$B:$L,11,0),"-")</f>
        <v>-</v>
      </c>
    </row>
    <row r="15" spans="1:11">
      <c r="A15" s="8" t="s">
        <v>407</v>
      </c>
      <c r="B15" s="14">
        <f>IFERROR(VLOOKUP($C$4,纽约960!$B:$K,5,0),"-")</f>
        <v>6.8315369261477</v>
      </c>
      <c r="C15" s="14">
        <f>IFERROR(VLOOKUP($C$4,纽约960!$B:$K,6,0),"-")</f>
        <v>5.79640718562874</v>
      </c>
      <c r="D15" s="14" t="str">
        <f>IFERROR(VLOOKUP($C$4,纽约960!$B:$K,7,0),"-")</f>
        <v/>
      </c>
      <c r="E15" s="14">
        <f>IFERROR(VLOOKUP($C$4,纽约960!$B:$K,8,0),"-")</f>
        <v>1212.22222222222</v>
      </c>
      <c r="F15" s="14">
        <f>IFERROR(VLOOKUP($C$4,纽约960!$B:$K,9,0),"-")</f>
        <v>968</v>
      </c>
      <c r="G15" s="15" t="str">
        <f>IFERROR(VLOOKUP($C$4,纽约960!$B:$K,10,0),"-")</f>
        <v/>
      </c>
      <c r="H15" s="14">
        <f t="shared" si="0"/>
        <v>4.32936507936508</v>
      </c>
      <c r="I15" s="16">
        <f t="shared" si="1"/>
        <v>3.45714285714286</v>
      </c>
      <c r="J15" s="14" t="str">
        <f t="shared" si="2"/>
        <v>-</v>
      </c>
      <c r="K15" s="17">
        <f>IFERROR(VLOOKUP($C$4,纽约960!$B:$L,11,0),"-")</f>
        <v>0</v>
      </c>
    </row>
  </sheetData>
  <mergeCells count="2">
    <mergeCell ref="C4:D4"/>
    <mergeCell ref="F4:G4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美森360</vt:lpstr>
      <vt:lpstr>美森432</vt:lpstr>
      <vt:lpstr>EX456</vt:lpstr>
      <vt:lpstr>洛杉矶600</vt:lpstr>
      <vt:lpstr>奥克兰744</vt:lpstr>
      <vt:lpstr>西雅图788</vt:lpstr>
      <vt:lpstr>芝加哥840</vt:lpstr>
      <vt:lpstr>休斯顿866</vt:lpstr>
      <vt:lpstr>萨凡纳888</vt:lpstr>
      <vt:lpstr>纽约960</vt:lpstr>
      <vt:lpstr>快查表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 得美</cp:lastModifiedBy>
  <dcterms:created xsi:type="dcterms:W3CDTF">2026-05-06T12:59:52Z</dcterms:created>
  <dcterms:modified xsi:type="dcterms:W3CDTF">2026-05-06T13:17:35Z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39B906A95EC54542986075CAF50017D1_12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