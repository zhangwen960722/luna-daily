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drawings/drawing11.xml" ContentType="application/vnd.openxmlformats-officedocument.drawing+xml"/>
  <Override PartName="/xl/worksheets/sheet14.xml" ContentType="application/vnd.openxmlformats-officedocument.spreadsheetml.worksheet+xml"/>
  <Override PartName="/xl/drawings/drawing12.xml" ContentType="application/vnd.openxmlformats-officedocument.drawing+xml"/>
  <Override PartName="/xl/worksheets/sheet15.xml" ContentType="application/vnd.openxmlformats-officedocument.spreadsheetml.worksheet+xml"/>
  <Override PartName="/xl/drawings/drawing13.xml" ContentType="application/vnd.openxmlformats-officedocument.drawing+xml"/>
  <Override PartName="/xl/worksheets/sheet16.xml" ContentType="application/vnd.openxmlformats-officedocument.spreadsheetml.worksheet+xml"/>
  <Override PartName="/xl/drawings/drawing14.xml" ContentType="application/vnd.openxmlformats-officedocument.drawing+xml"/>
  <Override PartName="/xl/worksheets/sheet17.xml" ContentType="application/vnd.openxmlformats-officedocument.spreadsheetml.worksheet+xml"/>
  <Override PartName="/xl/drawings/drawing15.xml" ContentType="application/vnd.openxmlformats-officedocument.drawing+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报价主页" sheetId="2" r:id="rId5"/>
    <sheet name="海运船期表" sheetId="3" r:id="rId6"/>
    <sheet name="注意事项" sheetId="4" r:id="rId7"/>
    <sheet name="国际快递" sheetId="5" r:id="rId8"/>
    <sheet name="美国空运240" sheetId="6" r:id="rId9"/>
    <sheet name="价格快查表" sheetId="7" r:id="rId10"/>
    <sheet name="美西特快专线" sheetId="8" r:id="rId11"/>
    <sheet name="美西快船专线" sheetId="9" r:id="rId12"/>
    <sheet name="美西普船专线" sheetId="10" r:id="rId13"/>
    <sheet name="美中普船专线" sheetId="11" r:id="rId14"/>
    <sheet name="美东普船专线" sheetId="12" r:id="rId15"/>
    <sheet name="普船玩具专线" sheetId="13" r:id="rId16"/>
    <sheet name="沃尔玛专线" sheetId="14" r:id="rId17"/>
    <sheet name="第三方仓专线" sheetId="15" r:id="rId18"/>
    <sheet name="海运快递派" sheetId="16" r:id="rId19"/>
    <sheet name="按方不包税" sheetId="17" r:id="rId20"/>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<sst xmlns="http://schemas.openxmlformats.org/spreadsheetml/2006/main" count="46" uniqueCount="46">
  <si>
    <t xml:space="preserve">  </t>
  </si>
  <si>
    <t/>
    <r>
      <rPr>
        <u/>
        <sz val="9.75"/>
        <color theme="10"/>
        <rFont val="Calibri"/>
        <family val="2"/>
      </rPr>
      <t>点击进入</t>
    </r>
  </si>
  <si>
    <t/>
    <r>
      <rPr>
        <sz val="18"/>
        <color rgb="FF000000"/>
        <rFont val="Calibri"/>
        <family val="2"/>
      </rPr>
      <t xml:space="preserve">自主装柜 | 海运市场优质后端 | 信誉清关 | 快捷海运转运派送
</t>
    </r>
    <r>
      <rPr>
        <sz val="12"/>
        <color rgb="FF000000"/>
        <rFont val="Calibri"/>
        <family val="2"/>
      </rPr>
      <t xml:space="preserve">船期来自船司官网，最终船司可能会有调整，包括但不限于出现延期或者空班等情况，最终时效以实际开船时间为准
本表最终解释权归飞点供应链所有</t>
    </r>
  </si>
  <si>
    <t/>
    <r>
      <rPr>
        <b/>
        <sz val="12"/>
        <color rgb="FFFFFFFF"/>
        <rFont val="Calibri"/>
        <family val="2"/>
      </rPr>
      <t xml:space="preserve">最快提取/送仓时间
</t>
    </r>
    <r>
      <rPr>
        <b/>
        <sz val="9.75"/>
        <color rgb="FFFFFFFF"/>
        <rFont val="Calibri"/>
        <family val="2"/>
      </rPr>
      <t>（开船后第二天算起）</t>
    </r>
  </si>
  <si>
    <t/>
    <r>
      <rPr>
        <sz val="10.5"/>
        <color rgb="FF000000"/>
        <rFont val="Calibri"/>
        <family val="2"/>
      </rPr>
      <t>7、</t>
    </r>
    <r>
      <rPr>
        <b/>
        <sz val="10.5"/>
        <color rgb="FF000000"/>
        <rFont val="Calibri"/>
        <family val="2"/>
      </rPr>
      <t>易碎品不接受任何损坏赔偿</t>
    </r>
    <r>
      <rPr>
        <sz val="10.5"/>
        <color rgb="FF000000"/>
        <rFont val="Calibri"/>
        <family val="2"/>
      </rPr>
      <t>。</t>
    </r>
  </si>
  <si>
    <t/>
    <r>
      <rPr>
        <sz val="10.5"/>
        <color rgb="FF000000"/>
        <rFont val="Calibri"/>
        <family val="2"/>
      </rPr>
      <t>6、产品数量缺少、损坏等</t>
    </r>
    <r>
      <rPr>
        <b/>
        <sz val="10.5"/>
        <color rgb="FF000000"/>
        <rFont val="Calibri"/>
        <family val="2"/>
      </rPr>
      <t>非整箱损坏丢失不受理赔偿</t>
    </r>
    <r>
      <rPr>
        <sz val="10.5"/>
        <color rgb="FF000000"/>
        <rFont val="Calibri"/>
        <family val="2"/>
      </rPr>
      <t>。</t>
    </r>
  </si>
  <si>
    <t/>
    <r>
      <rPr>
        <b/>
        <sz val="10.5"/>
        <color rgb="FF000000"/>
        <rFont val="Calibri"/>
        <family val="2"/>
      </rPr>
      <t xml:space="preserve">单箱8KG起
单箱计费
</t>
    </r>
    <r>
      <rPr>
        <b/>
        <sz val="12"/>
        <color rgb="FFFF0000"/>
        <rFont val="Calibri"/>
        <family val="2"/>
      </rPr>
      <t>操作费150元/票</t>
    </r>
  </si>
  <si>
    <t/>
    <r>
      <rPr>
        <b/>
        <sz val="15.75"/>
        <color rgb="FF000000"/>
        <rFont val="Calibri"/>
        <family val="2"/>
      </rPr>
      <t>邮编开头</t>
    </r>
    <r>
      <rPr>
        <b/>
        <sz val="15.75"/>
        <color rgb="FF000000"/>
        <rFont val="Calibri"/>
        <family val="2"/>
      </rPr>
      <t xml:space="preserve">    重量段</t>
    </r>
  </si>
  <si>
    <t/>
    <r>
      <rPr>
        <b/>
        <sz val="19.5"/>
        <color rgb="FFFFFFFF"/>
        <rFont val="Calibri"/>
        <family val="2"/>
      </rPr>
      <t>快递派</t>
    </r>
    <r>
      <rPr>
        <b/>
        <sz val="18"/>
        <color rgb="FFFFFFFF"/>
        <rFont val="Calibri"/>
        <family val="2"/>
      </rPr>
      <t>(大陆航班）</t>
    </r>
  </si>
  <si>
    <t/>
    <r>
      <rPr>
        <b/>
        <sz val="15.75"/>
        <color rgb="FF000000"/>
        <rFont val="Calibri"/>
        <family val="2"/>
      </rPr>
      <t>仓库</t>
    </r>
    <r>
      <rPr>
        <b/>
        <sz val="15.75"/>
        <color rgb="FF000000"/>
        <rFont val="Calibri"/>
        <family val="2"/>
      </rPr>
      <t xml:space="preserve">    重量段</t>
    </r>
  </si>
  <si>
    <t/>
    <r>
      <rPr>
        <b/>
        <sz val="19.5"/>
        <color rgb="FFFFFFFF"/>
        <rFont val="Calibri"/>
        <family val="2"/>
      </rPr>
      <t>快递派</t>
    </r>
    <r>
      <rPr>
        <b/>
        <sz val="18"/>
        <color rgb="FFFFFFFF"/>
        <rFont val="Calibri"/>
        <family val="2"/>
      </rPr>
      <t>(香港航班）</t>
    </r>
  </si>
  <si>
    <t/>
    <r>
      <rPr>
        <b/>
        <sz val="19.5"/>
        <color rgb="FFFFFFFF"/>
        <rFont val="Calibri"/>
        <family val="2"/>
      </rPr>
      <t>卡派</t>
    </r>
    <r>
      <rPr>
        <b/>
        <sz val="18"/>
        <color rgb="FFFFFFFF"/>
        <rFont val="Calibri"/>
        <family val="2"/>
      </rPr>
      <t>(大陆航班）</t>
    </r>
  </si>
  <si>
    <t/>
    <r>
      <rPr>
        <b/>
        <sz val="10.5"/>
        <color rgb="FFFFFFFF"/>
        <rFont val="Calibri"/>
        <family val="2"/>
      </rPr>
      <t>空派交货第二天算起5-12个自然日提取，第13个自然日起未提取按</t>
    </r>
    <r>
      <rPr>
        <b/>
        <sz val="10.5"/>
        <color rgb="FFFFCC00"/>
        <rFont val="Calibri"/>
        <family val="2"/>
      </rPr>
      <t>1元/kg/自然日赔付</t>
    </r>
    <r>
      <rPr>
        <b/>
        <sz val="10.5"/>
        <color rgb="FFFFFFFF"/>
        <rFont val="Calibri"/>
        <family val="2"/>
      </rPr>
      <t xml:space="preserve">，单票最高赔付3元/kg/自然日。因不可抗力因素和查验即取消超时赔付服务
单箱最低12KG起</t>
    </r>
  </si>
  <si>
    <t/>
    <r>
      <rPr>
        <b/>
        <sz val="10.5"/>
        <color rgb="FFFFFFFF"/>
        <rFont val="Calibri"/>
        <family val="2"/>
      </rPr>
      <t>交货第二天算起7-14个自然日提取，第15个自然日起未提取按</t>
    </r>
    <r>
      <rPr>
        <b/>
        <sz val="10.5"/>
        <color rgb="FFFFCC00"/>
        <rFont val="Calibri"/>
        <family val="2"/>
      </rPr>
      <t>1元/kg/自然日赔付</t>
    </r>
    <r>
      <rPr>
        <b/>
        <sz val="10.5"/>
        <color rgb="FFFFFFFF"/>
        <rFont val="Calibri"/>
        <family val="2"/>
      </rPr>
      <t xml:space="preserve">，单票最高赔付3元/kg/自然日。因不可抗力因素和查验即取消超时赔付服务
单箱最低12KG起</t>
    </r>
  </si>
  <si>
    <t/>
    <r>
      <rPr>
        <b/>
        <sz val="10.5"/>
        <color rgb="FF000000"/>
        <rFont val="Calibri"/>
        <family val="2"/>
      </rPr>
      <t xml:space="preserve">飞点尖端产品，选用美森MAX服务，到港48小时内专车提柜送仓。
</t>
    </r>
    <r>
      <rPr>
        <b/>
        <sz val="12"/>
        <color rgb="FFFF0000"/>
        <rFont val="Calibri"/>
        <family val="2"/>
      </rPr>
      <t xml:space="preserve">超承诺时效1/KG/工作日赔付，封顶赔付5元/KG为止。
如遇海关查验造成理赔时效延误，直接赔付2元/KG，不再做其他延误赔付。</t>
    </r>
    <r>
      <rPr>
        <b/>
        <sz val="9.75"/>
        <color rgb="FF000000"/>
        <rFont val="Calibri"/>
        <family val="2"/>
      </rPr>
      <t xml:space="preserve">
船舶机械故障延误、车祸、天灾等不可抗拒因素不赔付；FBA爆仓删约、推约、改约、不放约、拒收、PO失效、节假日假期、码头罢工、船司调整船期、航线变更等导致的到港时间延误，赔付时效同步顺延</t>
    </r>
  </si>
  <si>
    <t/>
    <r>
      <rPr>
        <b/>
        <sz val="10.5"/>
        <color rgb="FF000000"/>
        <rFont val="Calibri"/>
        <family val="2"/>
      </rPr>
      <t xml:space="preserve">飞点旗舰产品，选用美森特快服务，到港48小时内专车提柜送仓。
</t>
    </r>
    <r>
      <rPr>
        <b/>
        <sz val="13.5"/>
        <color rgb="FFFF0000"/>
        <rFont val="Calibri"/>
        <family val="2"/>
      </rPr>
      <t xml:space="preserve">超承诺时效1/KG/工作日赔付，退完运费为止。
如遇海关查验造成理赔时效延误，直接赔付2元/KG，不再做其他延误赔付。
</t>
    </r>
    <r>
      <rPr>
        <b/>
        <sz val="9.75"/>
        <color rgb="FF000000"/>
        <rFont val="Calibri"/>
        <family val="2"/>
      </rPr>
      <t>船舶机械故障延误、车祸、天灾等不可抗拒因素不赔付；FBA爆仓删约、推约、改约、不放约、拒收、PO失效、节假日假期、码头罢工、船司调整船期、航线变更等导致的到港时间延误，赔付时效同步顺延</t>
    </r>
  </si>
  <si>
    <t/>
    <r>
      <rPr>
        <b/>
        <sz val="10.5"/>
        <color rgb="FF000000"/>
        <rFont val="Calibri"/>
        <family val="2"/>
      </rPr>
      <t xml:space="preserve">华东/华南精品航线渠道，目的港专属车架、专用通道优先提柜，48小时内提柜送仓，时效比肩美森MAX。提供甩柜、时效延误双重理赔服务。
</t>
    </r>
    <r>
      <rPr>
        <b/>
        <sz val="12"/>
        <color rgb="FFFF0000"/>
        <rFont val="Calibri"/>
        <family val="2"/>
      </rPr>
      <t xml:space="preserve">超承诺时效0.5/KG/工作日赔付，封顶赔付3元/KG为止，甩柜赔付1/KG。
如遇海关查验造成理赔时效延误，直接赔付2元/KG，不再做其他延误赔付。</t>
    </r>
    <r>
      <rPr>
        <b/>
        <sz val="9.75"/>
        <color rgb="FF000000"/>
        <rFont val="Calibri"/>
        <family val="2"/>
      </rPr>
      <t xml:space="preserve">
船舶机械故障延误、车祸、天灾等不可抗拒因素不赔付；
FBA爆仓删约、推约、改约、不放约、拒收、PO失效、柜子进封闭区、节假日假期、码头罢工、船司调整船期、航线变更等导致的到港时间延误，赔付时效同步顺延</t>
    </r>
  </si>
  <si>
    <t/>
    <r>
      <rPr>
        <b/>
        <sz val="15.75"/>
        <color rgb="FF000000"/>
        <rFont val="Calibri"/>
        <family val="2"/>
      </rPr>
      <t>仓库</t>
    </r>
    <r>
      <rPr>
        <b/>
        <sz val="15.75"/>
        <color rgb="FF000000"/>
        <rFont val="Calibri"/>
        <family val="2"/>
      </rPr>
      <t xml:space="preserve">          重量段</t>
    </r>
  </si>
  <si>
    <t/>
    <r>
      <rPr>
        <b/>
        <sz val="10.5"/>
        <color rgb="FF000000"/>
        <rFont val="Calibri"/>
        <family val="2"/>
      </rPr>
      <t xml:space="preserve">选用COSCO/OOCL/EMC/CMA等船司服务里最快优质航线，交货10天内装柜进港，提供甩柜、开船600小时延误理赔服务。
</t>
    </r>
    <r>
      <rPr>
        <b/>
        <sz val="13.5"/>
        <color rgb="FFFF0000"/>
        <rFont val="Calibri"/>
        <family val="2"/>
      </rPr>
      <t xml:space="preserve">超承诺时效0.3/KG/工作日赔付，封顶赔付3元/KG/工作日；若出现甩柜情况包含在时效赔付内。
如遇海关查验造成理赔时效延误，直接赔付1元/KG，不再做其他延误赔付。
</t>
    </r>
    <r>
      <rPr>
        <b/>
        <sz val="9.75"/>
        <color rgb="FF000000"/>
        <rFont val="Calibri"/>
        <family val="2"/>
      </rPr>
      <t xml:space="preserve">船舶机械故障延误、车祸、天灾等不可抗拒因素不赔付；
FBA爆仓删约、推约、改约、不放约、拒收、PO失效、节假日假期、码头罢工、船司调整船期、航线变更等导致的到港时间延误，赔付时效同步顺延</t>
    </r>
  </si>
  <si>
    <t/>
    <r>
      <rPr>
        <sz val="10.5"/>
        <color rgb="FFFFFFFF"/>
        <rFont val="Calibri"/>
        <family val="2"/>
      </rPr>
      <t xml:space="preserve">美西低价首选，直达奥克兰港口，
预计开船后</t>
    </r>
    <r>
      <rPr>
        <sz val="10.5"/>
        <color rgb="FFFFD966"/>
        <rFont val="Calibri"/>
        <family val="2"/>
      </rPr>
      <t>744小时</t>
    </r>
    <r>
      <rPr>
        <sz val="10.5"/>
        <color rgb="FFFFFFFF"/>
        <rFont val="Calibri"/>
        <family val="2"/>
      </rPr>
      <t>提取，助力卖家安心长期备货</t>
    </r>
  </si>
  <si>
    <t/>
    <r>
      <rPr>
        <sz val="10.5"/>
        <color rgb="FFFFFFFF"/>
        <rFont val="Calibri"/>
        <family val="2"/>
      </rPr>
      <t xml:space="preserve">美西低价首选，盐田直达西雅图港口，
预计开船后</t>
    </r>
    <r>
      <rPr>
        <sz val="10.5"/>
        <color rgb="FFFFD966"/>
        <rFont val="Calibri"/>
        <family val="2"/>
      </rPr>
      <t>788小时</t>
    </r>
    <r>
      <rPr>
        <sz val="10.5"/>
        <color rgb="FFFFFFFF"/>
        <rFont val="Calibri"/>
        <family val="2"/>
      </rPr>
      <t>提取，助力卖家安心长期备货</t>
    </r>
  </si>
  <si>
    <t/>
    <r>
      <rPr>
        <sz val="10.5"/>
        <color rgb="FFFFFFFF"/>
        <rFont val="Calibri"/>
        <family val="2"/>
      </rPr>
      <t>低价首选，选用</t>
    </r>
    <r>
      <rPr>
        <sz val="10.5"/>
        <color rgb="FFFFD966"/>
        <rFont val="Calibri"/>
        <family val="2"/>
      </rPr>
      <t xml:space="preserve">EMC COSCO OOCL CMA TSL </t>
    </r>
    <r>
      <rPr>
        <sz val="10.5"/>
        <color rgb="FFFFFFFF"/>
        <rFont val="Calibri"/>
        <family val="2"/>
      </rPr>
      <t xml:space="preserve">等船公司航线服务，
预计开船后</t>
    </r>
    <r>
      <rPr>
        <sz val="10.5"/>
        <color rgb="FFFFD966"/>
        <rFont val="Calibri"/>
        <family val="2"/>
      </rPr>
      <t>768小时</t>
    </r>
    <r>
      <rPr>
        <sz val="10.5"/>
        <color rgb="FFFFFFFF"/>
        <rFont val="Calibri"/>
        <family val="2"/>
      </rPr>
      <t>提取，助力卖家安心长期备货</t>
    </r>
  </si>
  <si>
    <t/>
    <r>
      <rPr>
        <sz val="10.5"/>
        <color rgb="FFFFFFFF"/>
        <rFont val="Calibri"/>
        <family val="2"/>
      </rPr>
      <t xml:space="preserve">美西低价首选，盐田直达休斯顿港口，
预计开船后</t>
    </r>
    <r>
      <rPr>
        <sz val="10.5"/>
        <color rgb="FFFFD966"/>
        <rFont val="Calibri"/>
        <family val="2"/>
      </rPr>
      <t>866小时</t>
    </r>
    <r>
      <rPr>
        <sz val="10.5"/>
        <color rgb="FFFFFFFF"/>
        <rFont val="Calibri"/>
        <family val="2"/>
      </rPr>
      <t>提取，助力卖家安心长期备货</t>
    </r>
  </si>
  <si>
    <t/>
    <r>
      <rPr>
        <b/>
        <sz val="15.75"/>
        <color rgb="FF000000"/>
        <rFont val="Calibri"/>
        <family val="2"/>
      </rPr>
      <t>仓库</t>
    </r>
    <r>
      <rPr>
        <b/>
        <sz val="15.75"/>
        <color rgb="FF000000"/>
        <rFont val="Calibri"/>
        <family val="2"/>
      </rPr>
      <t xml:space="preserve">           重量段</t>
    </r>
  </si>
  <si>
    <t/>
    <r>
      <rPr>
        <sz val="15.75"/>
        <color rgb="FF000000"/>
        <rFont val="Calibri"/>
        <family val="2"/>
      </rPr>
      <t>仓库</t>
    </r>
    <r>
      <rPr>
        <b/>
        <sz val="15.75"/>
        <color rgb="FF000000"/>
        <rFont val="Calibri"/>
        <family val="2"/>
      </rPr>
      <t xml:space="preserve">                                                           </t>
    </r>
    <r>
      <rPr>
        <sz val="15.75"/>
        <color rgb="FF000000"/>
        <rFont val="Calibri"/>
        <family val="2"/>
      </rPr>
      <t xml:space="preserve"> </t>
    </r>
    <r>
      <rPr>
        <sz val="19.5"/>
        <color rgb="FF000000"/>
        <rFont val="Calibri"/>
        <family val="2"/>
      </rPr>
      <t xml:space="preserve"> 重量段</t>
    </r>
  </si>
  <si>
    <t/>
    <r>
      <rPr>
        <b/>
        <sz val="10.5"/>
        <color rgb="FF000000"/>
        <rFont val="Calibri"/>
        <family val="2"/>
      </rPr>
      <t>参考签收时效</t>
    </r>
    <r>
      <rPr>
        <b/>
        <sz val="10.5"/>
        <color rgb="FF000000"/>
        <rFont val="Calibri"/>
        <family val="2"/>
      </rPr>
      <t xml:space="preserve">
</t>
    </r>
    <r>
      <rPr>
        <b/>
        <sz val="10.5"/>
        <color rgb="FF000000"/>
        <rFont val="Calibri"/>
        <family val="2"/>
      </rPr>
      <t>（开船后）</t>
    </r>
  </si>
  <si>
    <t/>
    <r>
      <rPr>
        <sz val="15.75"/>
        <color rgb="FF000000"/>
        <rFont val="Calibri"/>
        <family val="2"/>
      </rPr>
      <t xml:space="preserve">出货前请提供地址最终确认运费费用，以及提前确认收件人是否需要电话跟邮件预约，避免产生空跑费
</t>
    </r>
    <r>
      <rPr>
        <sz val="15.75"/>
        <color rgb="FFC00000"/>
        <rFont val="Calibri"/>
        <family val="2"/>
      </rPr>
      <t>必须是商业地址，并且有DOCK</t>
    </r>
  </si>
  <si>
    <t/>
    <r>
      <rPr>
        <b/>
        <sz val="15.75"/>
        <color rgb="FF000000"/>
        <rFont val="Calibri"/>
        <family val="2"/>
      </rPr>
      <t>邮编仓库/派送城市</t>
    </r>
    <r>
      <rPr>
        <b/>
        <sz val="15.75"/>
        <color rgb="FF000000"/>
        <rFont val="Calibri"/>
        <family val="2"/>
      </rPr>
      <t xml:space="preserve">                             重量段</t>
    </r>
  </si>
  <si>
    <t/>
    <r>
      <rPr>
        <sz val="13.5"/>
        <color rgb="FF000000"/>
        <rFont val="Calibri"/>
        <family val="2"/>
      </rPr>
      <t>出货前请提供地址最终确认运费费用，以及提前确认收件人是否需要电话跟邮件预约，避免产生空跑费</t>
    </r>
    <r>
      <rPr>
        <sz val="13.5"/>
        <color rgb="FFC00000"/>
        <rFont val="Calibri"/>
        <family val="2"/>
      </rPr>
      <t xml:space="preserve">
</t>
    </r>
    <r>
      <rPr>
        <sz val="15.75"/>
        <color rgb="FFC00000"/>
        <rFont val="Calibri"/>
        <family val="2"/>
      </rPr>
      <t>必须是商业地址，并且有DOCK</t>
    </r>
  </si>
  <si>
    <t/>
    <r>
      <rPr>
        <sz val="13.5"/>
        <color rgb="FF000000"/>
        <rFont val="Calibri"/>
        <family val="2"/>
      </rPr>
      <t>出货前请提供地址最终确认运费费用，以及提前确认收件人是否需要电话跟邮件预约，避免产生空跑费</t>
    </r>
    <r>
      <rPr>
        <sz val="13.5"/>
        <color rgb="FFC00000"/>
        <rFont val="Calibri"/>
        <family val="2"/>
      </rPr>
      <t xml:space="preserve">
必须是商业地址，并且有DOCK</t>
    </r>
  </si>
  <si>
    <t/>
    <r>
      <rPr>
        <b/>
        <sz val="15.75"/>
        <color rgb="FF000000"/>
        <rFont val="Calibri"/>
        <family val="2"/>
      </rPr>
      <t>仓库</t>
    </r>
    <r>
      <rPr>
        <b/>
        <sz val="15.75"/>
        <color rgb="FF000000"/>
        <rFont val="Calibri"/>
        <family val="2"/>
      </rPr>
      <t xml:space="preserve">                            重量段</t>
    </r>
  </si>
  <si>
    <t/>
    <r>
      <rPr>
        <sz val="15.75"/>
        <color rgb="FF000000"/>
        <rFont val="Calibri"/>
        <family val="2"/>
      </rPr>
      <t>出货前请提供地址最终确认运费费用，以及提前确认收件人是否需要电话跟邮件预约，避免产生空跑费</t>
    </r>
    <r>
      <rPr>
        <sz val="15.75"/>
        <color rgb="FFC00000"/>
        <rFont val="Calibri"/>
        <family val="2"/>
      </rPr>
      <t xml:space="preserve">
必须是商业地址，并且有DOCK</t>
    </r>
  </si>
  <si>
    <t/>
    <r>
      <rPr>
        <b/>
        <sz val="15.75"/>
        <color rgb="FF000000"/>
        <rFont val="Calibri"/>
        <family val="2"/>
      </rPr>
      <t>仓库</t>
    </r>
    <r>
      <rPr>
        <b/>
        <sz val="15.75"/>
        <color rgb="FF000000"/>
        <rFont val="Calibri"/>
        <family val="2"/>
      </rPr>
      <t xml:space="preserve">                             重量段</t>
    </r>
  </si>
  <si>
    <t/>
    <r>
      <rPr>
        <sz val="15.75"/>
        <color rgb="FF000000"/>
        <rFont val="Calibri"/>
        <family val="2"/>
      </rPr>
      <t>出货前请提供地址最终确认运费费用，以及提前确认收件人是否需要电话跟邮件预约，避免产生空跑费</t>
    </r>
    <r>
      <rPr>
        <sz val="13.5"/>
        <color rgb="FFC00000"/>
        <rFont val="Calibri"/>
        <family val="2"/>
      </rPr>
      <t xml:space="preserve">
必须是商业地址，并且有DOCK</t>
    </r>
  </si>
  <si>
    <t/>
    <r>
      <rPr>
        <sz val="10.5"/>
        <color rgb="FFFF0000"/>
        <rFont val="Calibri"/>
        <family val="2"/>
      </rPr>
      <t xml:space="preserve">偏远地址单询（+1元/KG）
</t>
    </r>
    <r>
      <rPr>
        <sz val="10.5"/>
        <color rgb="FF000000"/>
        <rFont val="Calibri"/>
        <family val="2"/>
      </rPr>
      <t>偏远地址查询网址：</t>
    </r>
    <r>
      <rPr>
        <u/>
        <sz val="10.5"/>
        <color theme="10"/>
        <rFont val="Calibri"/>
        <family val="2"/>
      </rPr>
      <t>https://www.ziplucas.com/index.html</t>
    </r>
  </si>
  <si>
    <t/>
    <r>
      <rPr>
        <b/>
        <sz val="10.5"/>
        <color rgb="FFFFFFFF"/>
        <rFont val="Calibri"/>
        <family val="2"/>
      </rPr>
      <t xml:space="preserve">飞点旗舰产品，选用美森特快服务，到港48小时内专车提柜送仓，
开船后第二天算起</t>
    </r>
    <r>
      <rPr>
        <b/>
        <sz val="10.5"/>
        <color rgb="FFFFCC00"/>
        <rFont val="Calibri"/>
        <family val="2"/>
      </rPr>
      <t>15天（360小时）提取</t>
    </r>
  </si>
  <si>
    <t/>
    <r>
      <rPr>
        <b/>
        <sz val="9.75"/>
        <color rgb="FFFFFFFF"/>
        <rFont val="Calibri"/>
        <family val="2"/>
      </rPr>
      <t xml:space="preserve">华东精品航线渠道，目的港专属车架、专用通道优先提柜，48小时内提柜送仓，时效比肩美森MAX。开船后456小时提取
</t>
    </r>
    <r>
      <rPr>
        <b/>
        <sz val="9.75"/>
        <color rgb="FFFFC000"/>
        <rFont val="Calibri"/>
        <family val="2"/>
      </rPr>
      <t>甩柜赔1元/KG</t>
    </r>
  </si>
  <si>
    <t/>
    <r>
      <rPr>
        <b/>
        <sz val="9.75"/>
        <color rgb="FFFFFFFF"/>
        <rFont val="Calibri"/>
        <family val="2"/>
      </rPr>
      <t>选用COSCO/OOCL/EMC等船司服务里最快优质航线，</t>
    </r>
    <r>
      <rPr>
        <b/>
        <sz val="9.75"/>
        <color rgb="FFFFD966"/>
        <rFont val="Calibri"/>
        <family val="2"/>
      </rPr>
      <t>交货10天内装柜进港</t>
    </r>
  </si>
  <si>
    <t/>
    <r>
      <rPr>
        <sz val="12"/>
        <color rgb="FF000000"/>
        <rFont val="Calibri"/>
        <family val="2"/>
      </rPr>
      <t xml:space="preserve">快递派产品必须是纸箱货物，外箱包装不能缠膜、带护角、扎带，蛇皮袋、麻袋等均不可使用。纸箱必须为长方体或正方体，否则可能会被认定为异性包装。
若箱子包装未达到快递公司标准包装要求，由此产生的相关费用，我们将根据快递公司实际账单进行实报实销。
</t>
    </r>
    <r>
      <rPr>
        <sz val="12"/>
        <color rgb="FFFF0000"/>
        <rFont val="Calibri"/>
        <family val="2"/>
      </rPr>
      <t>如因包装问题或其他问题导致亚马逊仓库拒收货物、私人地址拒收、未知原因、地址更正产生的退回运费及丢件费用由客户自行承担。</t>
    </r>
  </si>
  <si>
    <t/>
    <r>
      <rPr>
        <b/>
        <sz val="10.5"/>
        <color rgb="FFFFFFFF"/>
        <rFont val="Calibri"/>
        <family val="2"/>
      </rPr>
      <t xml:space="preserve">飞点旗舰产品，选用美森MAX服务，到港48小时内专车提柜送仓，
开船后第二天算起</t>
    </r>
    <r>
      <rPr>
        <b/>
        <sz val="10.5"/>
        <color rgb="FFFFCC00"/>
        <rFont val="Calibri"/>
        <family val="2"/>
      </rPr>
      <t>16天提取</t>
    </r>
  </si>
  <si>
    <t/>
    <r>
      <rPr>
        <b/>
        <sz val="18"/>
        <color rgb="FFFFFFFF"/>
        <rFont val="Calibri"/>
        <family val="2"/>
      </rPr>
      <t>EX456</t>
    </r>
    <r>
      <rPr>
        <b/>
        <sz val="15.75"/>
        <color rgb="FFFFFFFF"/>
        <rFont val="Calibri"/>
        <family val="2"/>
      </rPr>
      <t>快递派</t>
    </r>
  </si>
  <si>
    <t/>
    <r>
      <rPr>
        <b/>
        <sz val="12"/>
        <color rgb="FF000000"/>
        <rFont val="Calibri"/>
        <family val="2"/>
      </rPr>
      <t xml:space="preserve">开船后的第二天开始算，12个工作日内提取；
第13个工作日起未提取赔偿1元/KG/工作日，最高赔付5元/KG；</t>
    </r>
    <r>
      <rPr>
        <b/>
        <sz val="12"/>
        <color rgb="FFFF0000"/>
        <rFont val="Calibri"/>
        <family val="2"/>
      </rPr>
      <t xml:space="preserve">
如遇海关查验造成承诺时效延误，直接赔付2元/KG，不再做其他延误赔付。</t>
    </r>
  </si>
  <si>
    <t/>
    <r>
      <rPr>
        <b/>
        <sz val="12"/>
        <color rgb="FF000000"/>
        <rFont val="Calibri"/>
        <family val="2"/>
      </rPr>
      <t xml:space="preserve">开船后的第二天开始算，14个工作日内提取；
第15个工作日起未提取赔偿1元/KG/工作日，最高赔付5元/KG；</t>
    </r>
    <r>
      <rPr>
        <b/>
        <sz val="12"/>
        <color rgb="FFFF0000"/>
        <rFont val="Calibri"/>
        <family val="2"/>
      </rPr>
      <t xml:space="preserve">
如遇海关查验造成承诺时效延误，直接赔付2元/KG，不再做其他延误赔付。</t>
    </r>
  </si>
  <si>
    <t/>
    <r>
      <rPr>
        <b/>
        <sz val="12"/>
        <color rgb="FF000000"/>
        <rFont val="Calibri"/>
        <family val="2"/>
      </rPr>
      <t xml:space="preserve">开船后的第二天开始算，18个工作日内提取；
第19个工作日起未提取赔偿1元/KG/工作日，最高赔付3元/KG；</t>
    </r>
    <r>
      <rPr>
        <b/>
        <sz val="12"/>
        <color rgb="FFFF0000"/>
        <rFont val="Calibri"/>
        <family val="2"/>
      </rPr>
      <t xml:space="preserve">
如遇海关查验造成承诺时效延误，直接赔付2元/KG，不再做其他延误赔付。</t>
    </r>
  </si>
  <si>
    <t/>
    <r>
      <rPr>
        <b/>
        <sz val="12"/>
        <color rgb="FF000000"/>
        <rFont val="Calibri"/>
        <family val="2"/>
      </rPr>
      <t xml:space="preserve">开船后的第二天开始算，25个工作日内提取；
第26个工作日起未提取赔偿1元/KG/工作日，最高赔付3元/KG；</t>
    </r>
    <r>
      <rPr>
        <b/>
        <sz val="12"/>
        <color rgb="FFFF0000"/>
        <rFont val="Calibri"/>
        <family val="2"/>
      </rPr>
      <t xml:space="preserve">
如遇海关查验造成承诺时效延误，直接赔付1元/KG，不再做其他延误赔付。</t>
    </r>
  </si>
  <si>
    <t/>
    <r>
      <rPr>
        <b/>
        <sz val="15.75"/>
        <color rgb="FFFF0000"/>
        <rFont val="Calibri"/>
        <family val="2"/>
      </rPr>
      <t>自2025年5月12日起</t>
    </r>
    <r>
      <rPr>
        <b/>
        <sz val="15.75"/>
        <color rgb="FFFF0000"/>
        <rFont val="Calibri"/>
        <family val="2"/>
      </rPr>
      <t xml:space="preserve">
</t>
    </r>
    <r>
      <rPr>
        <b/>
        <sz val="15.75"/>
        <color rgb="FFFF0000"/>
        <rFont val="Calibri"/>
        <family val="2"/>
      </rPr>
      <t>符合美国清关第232条款的钢铁制品、铝制品关税附加费加收100元/CBM；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</si>
</sst>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7">
    <numFmt numFmtId="164" formatCode="m&quot;月&quot;d&quot;日&quot;"/>
    <numFmt numFmtId="165" formatCode="m&quot;月&quot;d&quot;日&quot;"/>
    <numFmt numFmtId="166" formatCode="_-[$€]\ * #,##0.000_-;_-[$€]\ * #,##0.000\-;_-[$€]\ * &quot;-&quot;??_-;_-@_-"/>
    <numFmt numFmtId="167" formatCode="_-[$€]\ * #,##0.000_-;_-[$€]\ * #,##0.000\-;_-[$€]\ * &quot;-&quot;??_-;_-@_-"/>
    <numFmt numFmtId="168" formatCode="0.00_ "/>
    <numFmt numFmtId="169" formatCode="_-[$€]\ * #,##0.000_-;_-[$€]\ * #,##0.000\-;_-[$€]\ * &quot;-&quot;??_-;_-@_-"/>
    <numFmt numFmtId="170" formatCode="_-[$€]\ * #,##0.000_-;_-[$€]\ * #,##0.000\-;_-[$€]\ * &quot;-&quot;??_-;_-@_-"/>
    <numFmt numFmtId="171" formatCode="_-[$€]\ * #,##0.000_-;_-[$€]\ * #,##0.000\-;_-[$€]\ * &quot;-&quot;??_-;_-@_-"/>
    <numFmt numFmtId="172" formatCode="_-[$€]\ * #,##0.000_-;_-[$€]\ * #,##0.000\-;_-[$€]\ * &quot;-&quot;??_-;_-@_-"/>
    <numFmt numFmtId="173" formatCode="_-[$€]\ * #,##0.000_-;_-[$€]\ * #,##0.000\-;_-[$€]\ * &quot;-&quot;??_-;_-@_-"/>
    <numFmt numFmtId="174" formatCode="0.00_ "/>
    <numFmt numFmtId="175" formatCode="_-[$€]\ * #,##0.000_-;_-[$€]\ * #,##0.000\-;_-[$€]\ * &quot;-&quot;??_-;_-@_-"/>
    <numFmt numFmtId="176" formatCode="0.00_ "/>
    <numFmt numFmtId="177" formatCode="_-[$€]\ * #,##0.000_-;_-[$€]\ * #,##0.000\-;_-[$€]\ * &quot;-&quot;??_-;_-@_-"/>
    <numFmt numFmtId="178" formatCode="_-[$€]\ * #,##0.000_-;_-[$€]\ * #,##0.000\-;_-[$€]\ * &quot;-&quot;??_-;_-@_-"/>
    <numFmt numFmtId="179" formatCode="_-[$€]\ * #,##0.000_-;_-[$€]\ * #,##0.000\-;_-[$€]\ * &quot;-&quot;??_-;_-@_-"/>
    <numFmt numFmtId="180" formatCode="_-[$€]\ * #,##0.000_-;_-[$€]\ * #,##0.000\-;_-[$€]\ * &quot;-&quot;??_-;_-@_-"/>
    <numFmt numFmtId="181" formatCode="_-[$€]\ * #,##0.000_-;_-[$€]\ * #,##0.000\-;_-[$€]\ * &quot;-&quot;??_-;_-@_-"/>
    <numFmt numFmtId="182" formatCode="_-[$€]\ * #,##0.000_-;_-[$€]\ * #,##0.000\-;_-[$€]\ * &quot;-&quot;??_-;_-@_-"/>
    <numFmt numFmtId="183" formatCode="_-[$€]\ * #,##0.000_-;_-[$€]\ * #,##0.000\-;_-[$€]\ * &quot;-&quot;??_-;_-@_-"/>
    <numFmt numFmtId="184" formatCode="_-[$€]\ * #,##0.000_-;_-[$€]\ * #,##0.000\-;_-[$€]\ * &quot;-&quot;??_-;_-@_-"/>
    <numFmt numFmtId="185" formatCode="_-[$€]\ * #,##0.000_-;_-[$€]\ * #,##0.000\-;_-[$€]\ * &quot;-&quot;??_-;_-@_-"/>
    <numFmt numFmtId="186" formatCode="_-[$€]\ * #,##0.000_-;_-[$€]\ * #,##0.000\-;_-[$€]\ * &quot;-&quot;??_-;_-@_-"/>
    <numFmt numFmtId="187" formatCode="_-[$€]\ * #,##0.000_-;_-[$€]\ * #,##0.000\-;_-[$€]\ * &quot;-&quot;??_-;_-@_-"/>
    <numFmt numFmtId="188" formatCode="_-[$€]\ * #,##0.000_-;_-[$€]\ * #,##0.000\-;_-[$€]\ * &quot;-&quot;??_-;_-@_-"/>
    <numFmt numFmtId="189" formatCode="_-[$€]\ * #,##0.000_-;_-[$€]\ * #,##0.000\-;_-[$€]\ * &quot;-&quot;??_-;_-@_-"/>
    <numFmt numFmtId="190" formatCode="_-[$€]\ * #,##0.000_-;_-[$€]\ * #,##0.000\-;_-[$€]\ * &quot;-&quot;??_-;_-@_-"/>
    <numFmt numFmtId="191" formatCode="_-[$€]\ * #,##0.000_-;_-[$€]\ * #,##0.000\-;_-[$€]\ * &quot;-&quot;??_-;_-@_-"/>
    <numFmt numFmtId="192" formatCode="_-[$€]\ * #,##0.000_-;_-[$€]\ * #,##0.000\-;_-[$€]\ * &quot;-&quot;??_-;_-@_-"/>
    <numFmt numFmtId="193" formatCode="_-[$€]\ * #,##0.000_-;_-[$€]\ * #,##0.000\-;_-[$€]\ * &quot;-&quot;??_-;_-@_-"/>
    <numFmt numFmtId="194" formatCode="_-[$€]\ * #,##0.000_-;_-[$€]\ * #,##0.000\-;_-[$€]\ * &quot;-&quot;??_-;_-@_-"/>
    <numFmt numFmtId="195" formatCode="_-[$€]\ * #,##0.000_-;_-[$€]\ * #,##0.000\-;_-[$€]\ * &quot;-&quot;??_-;_-@_-"/>
    <numFmt numFmtId="196" formatCode="&quot;￥&quot;#,##0.0;&quot;￥&quot;\-#,##0.0"/>
    <numFmt numFmtId="197" formatCode="_-[$€]\ * #,##0.000_-;_-[$€]\ * #,##0.000\-;_-[$€]\ * &quot;-&quot;??_-;_-@_-"/>
    <numFmt numFmtId="198" formatCode="yyyy/m/d;@"/>
    <numFmt numFmtId="199" formatCode="yyyy/m/d;@"/>
    <numFmt numFmtId="200" formatCode="yyyy/m/d;@"/>
    <numFmt numFmtId="201" formatCode="_([$€-2]* #,##0.00_);_([$€-2]* \(#,##0.00\);_([$€-2]* &quot;-&quot;??_)"/>
    <numFmt numFmtId="202" formatCode="_([$€-2]* #,##0.00_);_([$€-2]* \(#,##0.00\);_([$€-2]* &quot;-&quot;??_)"/>
    <numFmt numFmtId="203" formatCode="_([$€-2]* #,##0.00_);_([$€-2]* \(#,##0.00\);_([$€-2]* &quot;-&quot;??_)"/>
    <numFmt numFmtId="204" formatCode="_([$€-2]* #,##0.00_);_([$€-2]* \(#,##0.00\);_([$€-2]* &quot;-&quot;??_)"/>
    <numFmt numFmtId="205" formatCode="_([$€-2]* #,##0.00_);_([$€-2]* \(#,##0.00\);_([$€-2]* &quot;-&quot;??_)"/>
    <numFmt numFmtId="206" formatCode="_([$€-2]* #,##0.00_);_([$€-2]* \(#,##0.00\);_([$€-2]* &quot;-&quot;??_)"/>
    <numFmt numFmtId="207" formatCode="_([$€-2]* #,##0.00_);_([$€-2]* \(#,##0.00\);_([$€-2]* &quot;-&quot;??_)"/>
    <numFmt numFmtId="208" formatCode="_([$€-2]* #,##0.00_);_([$€-2]* \(#,##0.00\);_([$€-2]* &quot;-&quot;??_)"/>
    <numFmt numFmtId="209" formatCode="_([$€-2]* #,##0.00_);_([$€-2]* \(#,##0.00\);_([$€-2]* &quot;-&quot;??_)"/>
    <numFmt numFmtId="210" formatCode="_([$€-2]* #,##0.00_);_([$€-2]* \(#,##0.00\);_([$€-2]* &quot;-&quot;??_)"/>
    <numFmt numFmtId="211" formatCode="_([$€-2]* #,##0.00_);_([$€-2]* \(#,##0.00\);_([$€-2]* &quot;-&quot;??_)"/>
    <numFmt numFmtId="212" formatCode="_([$€-2]* #,##0.00_);_([$€-2]* \(#,##0.00\);_([$€-2]* &quot;-&quot;??_)"/>
    <numFmt numFmtId="213" formatCode="_([$€-2]* #,##0.00_);_([$€-2]* \(#,##0.00\);_([$€-2]* &quot;-&quot;??_)"/>
    <numFmt numFmtId="214" formatCode="_([$€-2]* #,##0.00_);_([$€-2]* \(#,##0.00\);_([$€-2]* &quot;-&quot;??_)"/>
    <numFmt numFmtId="215" formatCode="_([$€-2]* #,##0.00_);_([$€-2]* \(#,##0.00\);_([$€-2]* &quot;-&quot;??_)"/>
    <numFmt numFmtId="216" formatCode="_([$€-2]* #,##0.00_);_([$€-2]* \(#,##0.00\);_([$€-2]* &quot;-&quot;??_)"/>
    <numFmt numFmtId="217" formatCode="_([$€-2]* #,##0.00_);_([$€-2]* \(#,##0.00\);_([$€-2]* &quot;-&quot;??_)"/>
    <numFmt numFmtId="218" formatCode="_([$€-2]* #,##0.00_);_([$€-2]* \(#,##0.00\);_([$€-2]* &quot;-&quot;??_)"/>
    <numFmt numFmtId="219" formatCode="_([$€-2]* #,##0.00_);_([$€-2]* \(#,##0.00\);_([$€-2]* &quot;-&quot;??_)"/>
    <numFmt numFmtId="220" formatCode="_([$€-2]* #,##0.00_);_([$€-2]* \(#,##0.00\);_([$€-2]* &quot;-&quot;??_)"/>
    <numFmt numFmtId="221" formatCode="_([$€-2]* #,##0.00_);_([$€-2]* \(#,##0.00\);_([$€-2]* &quot;-&quot;??_)"/>
    <numFmt numFmtId="222" formatCode="@"/>
    <numFmt numFmtId="223" formatCode="@"/>
    <numFmt numFmtId="224" formatCode="@"/>
    <numFmt numFmtId="225" formatCode="@"/>
    <numFmt numFmtId="226" formatCode="@"/>
    <numFmt numFmtId="227" formatCode="@"/>
    <numFmt numFmtId="228" formatCode="@"/>
    <numFmt numFmtId="229" formatCode="@"/>
    <numFmt numFmtId="230" formatCode="@"/>
    <numFmt numFmtId="231" formatCode="@"/>
    <numFmt numFmtId="232" formatCode="@"/>
    <numFmt numFmtId="233" formatCode="@"/>
    <numFmt numFmtId="234" formatCode="@"/>
    <numFmt numFmtId="235" formatCode="@"/>
    <numFmt numFmtId="236" formatCode="@"/>
    <numFmt numFmtId="237" formatCode="@"/>
    <numFmt numFmtId="238" formatCode="@"/>
    <numFmt numFmtId="239" formatCode="@"/>
    <numFmt numFmtId="240" formatCode="@"/>
    <numFmt numFmtId="241" formatCode="@"/>
    <numFmt numFmtId="242" formatCode="@"/>
    <numFmt numFmtId="243" formatCode="@"/>
    <numFmt numFmtId="244" formatCode="@"/>
    <numFmt numFmtId="245" formatCode="@"/>
    <numFmt numFmtId="246" formatCode="@"/>
    <numFmt numFmtId="247" formatCode="@"/>
    <numFmt numFmtId="248" formatCode="@"/>
    <numFmt numFmtId="249" formatCode="@"/>
    <numFmt numFmtId="250" formatCode="@"/>
    <numFmt numFmtId="251" formatCode="@"/>
    <numFmt numFmtId="252" formatCode="@"/>
    <numFmt numFmtId="253" formatCode="@"/>
    <numFmt numFmtId="254" formatCode="@"/>
    <numFmt numFmtId="255" formatCode="@"/>
    <numFmt numFmtId="256" formatCode="@"/>
    <numFmt numFmtId="257" formatCode="@"/>
    <numFmt numFmtId="258" formatCode="@"/>
    <numFmt numFmtId="259" formatCode="@"/>
    <numFmt numFmtId="260" formatCode="_([$€-2]* #,##0.00_);_([$€-2]* \(#,##0.00\);_([$€-2]* &quot;-&quot;??_)"/>
    <numFmt numFmtId="261" formatCode="_([$€-2]* #,##0.00_);_([$€-2]* \(#,##0.00\);_([$€-2]* &quot;-&quot;??_)"/>
    <numFmt numFmtId="262" formatCode="_([$€-2]* #,##0.00_);_([$€-2]* \(#,##0.00\);_([$€-2]* &quot;-&quot;??_)"/>
    <numFmt numFmtId="263" formatCode="_([$€-2]* #,##0.00_);_([$€-2]* \(#,##0.00\);_([$€-2]* &quot;-&quot;??_)"/>
    <numFmt numFmtId="264" formatCode="_([$€-2]* #,##0.00_);_([$€-2]* \(#,##0.00\);_([$€-2]* &quot;-&quot;??_)"/>
    <numFmt numFmtId="265" formatCode="_([$€-2]* #,##0.00_);_([$€-2]* \(#,##0.00\);_([$€-2]* &quot;-&quot;??_)"/>
    <numFmt numFmtId="266" formatCode="_([$€-2]* #,##0.00_);_([$€-2]* \(#,##0.00\);_([$€-2]* &quot;-&quot;??_)"/>
    <numFmt numFmtId="267" formatCode="_([$€-2]* #,##0.00_);_([$€-2]* \(#,##0.00\);_([$€-2]* &quot;-&quot;??_)"/>
    <numFmt numFmtId="268" formatCode="_([$€-2]* #,##0.00_);_([$€-2]* \(#,##0.00\);_([$€-2]* &quot;-&quot;??_)"/>
    <numFmt numFmtId="269" formatCode="0.00_);[Red]\(0.00\)"/>
    <numFmt numFmtId="270" formatCode="_([$€-2]* #,##0.00_);_([$€-2]* \(#,##0.00\);_([$€-2]* &quot;-&quot;??_)"/>
  </numFmts>
  <fonts count="39">
    <font>
      <sz val="10"/>
      <color theme="1"/>
      <name val="Calibri"/>
      <family val="2"/>
      <scheme val="minor"/>
    </font>
    <font>
      <u val="single"/>
      <sz val="10"/>
      <color rgb="FF800080"/>
      <name val="Calibri"/>
      <family val="2"/>
      <scheme val="minor"/>
    </font>
    <font>
      <sz val="10"/>
      <color rgb="FF000000"/>
      <name val="Calibri"/>
      <family val="2"/>
      <scheme val="minor"/>
    </font>
    <font>
      <b val="true"/>
      <sz val="10"/>
      <color rgb="FF000000"/>
      <name val="Calibri"/>
      <family val="2"/>
      <scheme val="minor"/>
    </font>
    <font>
      <sz val="10"/>
      <color rgb="FFFFFFFF"/>
      <name val="Calibri"/>
      <family val="2"/>
      <scheme val="minor"/>
    </font>
    <font>
      <b val="true"/>
      <sz val="11"/>
      <color rgb="FFFFFFFF"/>
      <name val="Calibri"/>
      <family val="2"/>
      <scheme val="minor"/>
    </font>
    <font>
      <sz val="11"/>
      <color rgb="FF000000"/>
      <name val="Calibri"/>
      <family val="2"/>
      <scheme val="minor"/>
    </font>
    <font>
      <sz val="12"/>
      <color rgb="FF000000"/>
      <name val="Calibri"/>
      <family val="2"/>
      <scheme val="minor"/>
    </font>
    <font>
      <b val="true"/>
      <sz val="12"/>
      <color rgb="FF000000"/>
      <name val="Calibri"/>
      <family val="2"/>
      <scheme val="minor"/>
    </font>
    <font>
      <sz val="28"/>
      <color rgb="FFFFFFFF"/>
      <name val="Calibri"/>
      <family val="2"/>
      <scheme val="minor"/>
    </font>
    <font>
      <b val="true"/>
      <sz val="12"/>
      <color rgb="FFFFFFFF"/>
      <name val="Calibri"/>
      <family val="2"/>
      <scheme val="minor"/>
    </font>
    <font>
      <sz val="18"/>
      <color rgb="FF000000"/>
      <name val="Calibri"/>
      <family val="2"/>
      <scheme val="minor"/>
    </font>
    <font>
      <b val="true"/>
      <sz val="12"/>
      <color rgb="FFFF0000"/>
      <name val="Calibri"/>
      <family val="2"/>
      <scheme val="minor"/>
    </font>
    <font>
      <b val="true"/>
      <sz val="11"/>
      <color rgb="FF000000"/>
      <name val="Calibri"/>
      <family val="2"/>
      <scheme val="minor"/>
    </font>
    <font>
      <b val="true"/>
      <sz val="14"/>
      <color rgb="FF000000"/>
      <name val="Calibri"/>
      <family val="2"/>
      <scheme val="minor"/>
    </font>
    <font>
      <b val="true"/>
      <sz val="16"/>
      <color rgb="FFFF0000"/>
      <name val="Calibri"/>
      <family val="2"/>
      <scheme val="minor"/>
    </font>
    <font>
      <b val="true"/>
      <sz val="16"/>
      <color rgb="FFFFFFFF"/>
      <name val="Calibri"/>
      <family val="2"/>
      <scheme val="minor"/>
    </font>
    <font>
      <b val="true"/>
      <sz val="16"/>
      <color rgb="FFB15D24"/>
      <name val="Calibri"/>
      <family val="2"/>
      <scheme val="minor"/>
    </font>
    <font>
      <b val="true"/>
      <sz val="20"/>
      <color rgb="FFFFFFFF"/>
      <name val="Calibri"/>
      <family val="2"/>
      <scheme val="minor"/>
    </font>
    <font>
      <b val="true"/>
      <sz val="11"/>
      <color rgb="FFFF0000"/>
      <name val="Calibri"/>
      <family val="2"/>
      <scheme val="minor"/>
    </font>
    <font>
      <sz val="11"/>
      <color rgb="FFFF0000"/>
      <name val="Calibri"/>
      <family val="2"/>
      <scheme val="minor"/>
    </font>
    <font>
      <sz val="24"/>
      <color rgb="FF000000"/>
      <name val="Calibri"/>
      <family val="2"/>
      <scheme val="minor"/>
    </font>
    <font>
      <b val="true"/>
      <sz val="16"/>
      <color rgb="FF000000"/>
      <name val="Calibri"/>
      <family val="2"/>
      <scheme val="minor"/>
    </font>
    <font>
      <b val="true"/>
      <sz val="18"/>
      <color rgb="FFFF0000"/>
      <name val="Calibri"/>
      <family val="2"/>
      <scheme val="minor"/>
    </font>
    <font>
      <sz val="14"/>
      <color rgb="FF000000"/>
      <name val="Calibri"/>
      <family val="2"/>
      <scheme val="minor"/>
    </font>
    <font>
      <b val="true"/>
      <sz val="14"/>
      <color rgb="FFFFFFFF"/>
      <name val="Calibri"/>
      <family val="2"/>
      <scheme val="minor"/>
    </font>
    <font>
      <b val="true"/>
      <sz val="10"/>
      <color rgb="FFFF0000"/>
      <name val="Calibri"/>
      <family val="2"/>
      <scheme val="minor"/>
    </font>
    <font>
      <b val="true"/>
      <sz val="14"/>
      <color rgb="FFFF0000"/>
      <name val="Calibri"/>
      <family val="2"/>
      <scheme val="minor"/>
    </font>
    <font>
      <b val="true"/>
      <sz val="18"/>
      <color rgb="FFFFFFFF"/>
      <name val="Calibri"/>
      <family val="2"/>
      <scheme val="minor"/>
    </font>
    <font>
      <sz val="24"/>
      <color rgb="FFFFFFFF"/>
      <name val="Calibri"/>
      <family val="2"/>
      <scheme val="minor"/>
    </font>
    <font>
      <sz val="11"/>
      <color rgb="FFFFFFFF"/>
      <name val="Calibri"/>
      <family val="2"/>
      <scheme val="minor"/>
    </font>
    <font>
      <b val="true"/>
      <sz val="10"/>
      <color rgb="FFFFFFFF"/>
      <name val="Calibri"/>
      <family val="2"/>
      <scheme val="minor"/>
    </font>
    <font>
      <sz val="26"/>
      <color rgb="FF000000"/>
      <name val="Calibri"/>
      <family val="2"/>
      <scheme val="minor"/>
    </font>
    <font>
      <sz val="16"/>
      <color rgb="FF000000"/>
      <name val="Calibri"/>
      <family val="2"/>
      <scheme val="minor"/>
    </font>
    <font>
      <b val="true"/>
      <sz val="12"/>
      <color rgb="FFB15D24"/>
      <name val="Calibri"/>
      <family val="2"/>
      <scheme val="minor"/>
    </font>
    <font>
      <b val="true"/>
      <sz val="16"/>
      <color rgb="FF000000"/>
      <name val="Calibri"/>
      <family val="2"/>
      <scheme val="minor"/>
    </font>
    <font>
      <sz val="14"/>
      <color rgb="FFC00000"/>
      <name val="Calibri"/>
      <family val="2"/>
      <scheme val="minor"/>
    </font>
    <font>
      <sz val="16"/>
      <color rgb="FFC00000"/>
      <name val="Calibri"/>
      <family val="2"/>
      <scheme val="minor"/>
    </font>
    <font>
      <sz val="20"/>
      <color rgb="FF000000"/>
      <name val="Calibri"/>
      <family val="2"/>
      <scheme val="minor"/>
    </font>
  </fonts>
  <fills count="202">
    <fill>
      <patternFill patternType="none">
        <fgColor/>
        <bgColor/>
      </patternFill>
    </fill>
    <fill>
      <patternFill patternType="gray125">
        <fgColor/>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359F76"/>
        <bgColor/>
      </patternFill>
    </fill>
    <fill>
      <patternFill patternType="solid">
        <fgColor rgb="FF359F76"/>
        <bgColor/>
      </patternFill>
    </fill>
    <fill>
      <patternFill patternType="solid">
        <fgColor rgb="FF359F76"/>
        <bgColor/>
      </patternFill>
    </fill>
    <fill>
      <patternFill patternType="solid">
        <fgColor rgb="FF04E1BA"/>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19A382"/>
        <bgColor/>
      </patternFill>
    </fill>
    <fill>
      <patternFill patternType="solid">
        <fgColor rgb="FF19A382"/>
        <bgColor/>
      </patternFill>
    </fill>
    <fill>
      <patternFill patternType="solid">
        <fgColor rgb="FF19A382"/>
        <bgColor/>
      </patternFill>
    </fill>
    <fill>
      <patternFill patternType="solid">
        <fgColor rgb="FF19A382"/>
        <bgColor/>
      </patternFill>
    </fill>
    <fill>
      <patternFill patternType="solid">
        <fgColor rgb="FF19A382"/>
        <bgColor/>
      </patternFill>
    </fill>
    <fill>
      <patternFill patternType="solid">
        <fgColor rgb="FF359F76"/>
        <bgColor/>
      </patternFill>
    </fill>
    <fill>
      <patternFill patternType="solid">
        <fgColor rgb="FF359F76"/>
        <bgColor/>
      </patternFill>
    </fill>
    <fill>
      <patternFill patternType="solid">
        <fgColor rgb="FF19A382"/>
        <bgColor/>
      </patternFill>
    </fill>
    <fill>
      <patternFill patternType="solid">
        <fgColor rgb="FF359F76"/>
        <bgColor/>
      </patternFill>
    </fill>
    <fill>
      <patternFill patternType="solid">
        <fgColor rgb="FF359F76"/>
        <bgColor/>
      </patternFill>
    </fill>
    <fill>
      <patternFill patternType="solid">
        <fgColor rgb="FF223962"/>
        <bgColor/>
      </patternFill>
    </fill>
    <fill>
      <patternFill patternType="solid">
        <fgColor rgb="FF04E1BA"/>
        <bgColor/>
      </patternFill>
    </fill>
    <fill>
      <patternFill patternType="solid">
        <fgColor rgb="FF04E1BA"/>
        <bgColor/>
      </patternFill>
    </fill>
    <fill>
      <patternFill patternType="solid">
        <fgColor rgb="FF04E1BA"/>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9CC3E5"/>
        <bgColor/>
      </patternFill>
    </fill>
    <fill>
      <patternFill patternType="solid">
        <fgColor rgb="FF9CC3E5"/>
        <bgColor/>
      </patternFill>
    </fill>
    <fill>
      <patternFill patternType="solid">
        <fgColor rgb="FF9CC3E5"/>
        <bgColor/>
      </patternFill>
    </fill>
    <fill>
      <patternFill patternType="solid">
        <fgColor rgb="FF9CC3E5"/>
        <bgColor/>
      </patternFill>
    </fill>
    <fill>
      <patternFill patternType="solid">
        <fgColor rgb="FF359F76"/>
        <bgColor/>
      </patternFill>
    </fill>
    <fill>
      <patternFill patternType="solid">
        <fgColor rgb="FFEDEDED"/>
        <bgColor/>
      </patternFill>
    </fill>
    <fill>
      <patternFill patternType="solid">
        <fgColor rgb="FFD9D9D9"/>
        <bgColor/>
      </patternFill>
    </fill>
    <fill>
      <patternFill patternType="solid">
        <fgColor rgb="FFD9D9D9"/>
        <bgColor/>
      </patternFill>
    </fill>
    <fill>
      <patternFill patternType="solid">
        <fgColor rgb="FFD9D9D9"/>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9D9D9"/>
        <bgColor/>
      </patternFill>
    </fill>
    <fill>
      <patternFill patternType="solid">
        <fgColor rgb="FFD8D8D8"/>
        <bgColor/>
      </patternFill>
    </fill>
    <fill>
      <patternFill patternType="solid">
        <fgColor rgb="FF335593"/>
        <bgColor/>
      </patternFill>
    </fill>
    <fill>
      <patternFill patternType="solid">
        <fgColor rgb="FF335593"/>
        <bgColor/>
      </patternFill>
    </fill>
    <fill>
      <patternFill patternType="solid">
        <fgColor rgb="FF335593"/>
        <bgColor/>
      </patternFill>
    </fill>
    <fill>
      <patternFill patternType="solid">
        <fgColor rgb="FF9CC3E5"/>
        <bgColor/>
      </patternFill>
    </fill>
    <fill>
      <patternFill patternType="solid">
        <fgColor rgb="FF9CC3E5"/>
        <bgColor/>
      </patternFill>
    </fill>
    <fill>
      <patternFill patternType="solid">
        <fgColor rgb="FF9CC3E5"/>
        <bgColor/>
      </patternFill>
    </fill>
    <fill>
      <patternFill patternType="solid">
        <fgColor rgb="FF9CC3E5"/>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9D9D9"/>
        <bgColor/>
      </patternFill>
    </fill>
    <fill>
      <patternFill patternType="solid">
        <fgColor rgb="FFEDEDED"/>
        <bgColor/>
      </patternFill>
    </fill>
    <fill>
      <patternFill patternType="solid">
        <fgColor rgb="FFD9D9D9"/>
        <bgColor/>
      </patternFill>
    </fill>
    <fill>
      <patternFill patternType="solid">
        <fgColor rgb="FFD9D9D9"/>
        <bgColor/>
      </patternFill>
    </fill>
    <fill>
      <patternFill patternType="solid">
        <fgColor rgb="FF04E1BA"/>
        <bgColor/>
      </patternFill>
    </fill>
    <fill>
      <patternFill patternType="solid">
        <fgColor rgb="FF203764"/>
        <bgColor/>
      </patternFill>
    </fill>
    <fill>
      <patternFill patternType="solid">
        <fgColor rgb="FF203764"/>
        <bgColor/>
      </patternFill>
    </fill>
    <fill>
      <patternFill patternType="solid">
        <fgColor rgb="FF19A382"/>
        <bgColor/>
      </patternFill>
    </fill>
    <fill>
      <patternFill patternType="solid">
        <fgColor rgb="FF19A382"/>
        <bgColor/>
      </patternFill>
    </fill>
    <fill>
      <patternFill patternType="solid">
        <fgColor rgb="FF19A382"/>
        <bgColor/>
      </patternFill>
    </fill>
    <fill>
      <patternFill patternType="solid">
        <fgColor rgb="FF19A382"/>
        <bgColor/>
      </patternFill>
    </fill>
    <fill>
      <patternFill patternType="solid">
        <fgColor rgb="FF19A382"/>
        <bgColor/>
      </patternFill>
    </fill>
    <fill>
      <patternFill patternType="solid">
        <fgColor rgb="FF19A382"/>
        <bgColor/>
      </patternFill>
    </fill>
    <fill>
      <patternFill patternType="solid">
        <fgColor rgb="FF19A382"/>
        <bgColor/>
      </patternFill>
    </fill>
    <fill>
      <patternFill patternType="solid">
        <fgColor rgb="FF19A382"/>
        <bgColor/>
      </patternFill>
    </fill>
    <fill>
      <patternFill patternType="solid">
        <fgColor rgb="FF19A382"/>
        <bgColor/>
      </patternFill>
    </fill>
    <fill>
      <patternFill patternType="solid">
        <fgColor rgb="FFD9D9D9"/>
        <bgColor/>
      </patternFill>
    </fill>
    <fill>
      <patternFill patternType="solid">
        <fgColor rgb="FFD8D8D8"/>
        <bgColor/>
      </patternFill>
    </fill>
    <fill>
      <patternFill patternType="solid">
        <fgColor rgb="FF335593"/>
        <bgColor/>
      </patternFill>
    </fill>
    <fill>
      <patternFill patternType="solid">
        <fgColor rgb="FFFFC000"/>
        <bgColor/>
      </patternFill>
    </fill>
    <fill>
      <patternFill patternType="solid">
        <fgColor rgb="FFFF0000"/>
        <bgColor/>
      </patternFill>
    </fill>
    <fill>
      <patternFill patternType="solid">
        <fgColor rgb="FF335593"/>
        <bgColor/>
      </patternFill>
    </fill>
    <fill>
      <patternFill patternType="solid">
        <fgColor rgb="FF335593"/>
        <bgColor/>
      </patternFill>
    </fill>
    <fill>
      <patternFill patternType="solid">
        <fgColor rgb="FF335593"/>
        <bgColor/>
      </patternFill>
    </fill>
    <fill>
      <patternFill patternType="solid">
        <fgColor rgb="FFFF0000"/>
        <bgColor/>
      </patternFill>
    </fill>
    <fill>
      <patternFill patternType="solid">
        <fgColor rgb="FF335593"/>
        <bgColor/>
      </patternFill>
    </fill>
    <fill>
      <patternFill patternType="solid">
        <fgColor rgb="FF04E1BA"/>
        <bgColor/>
      </patternFill>
    </fill>
    <fill>
      <patternFill patternType="solid">
        <fgColor rgb="FF04E1BA"/>
        <bgColor/>
      </patternFill>
    </fill>
    <fill>
      <patternFill patternType="solid">
        <fgColor rgb="FF04E1BA"/>
        <bgColor/>
      </patternFill>
    </fill>
    <fill>
      <patternFill patternType="solid">
        <fgColor rgb="FF04E1BA"/>
        <bgColor/>
      </patternFill>
    </fill>
    <fill>
      <patternFill patternType="solid">
        <fgColor rgb="FFD8D8D8"/>
        <bgColor/>
      </patternFill>
    </fill>
    <fill>
      <patternFill patternType="solid">
        <fgColor rgb="FFD9D9D9"/>
        <bgColor/>
      </patternFill>
    </fill>
    <fill>
      <patternFill patternType="solid">
        <fgColor rgb="FFD8D8D8"/>
        <bgColor/>
      </patternFill>
    </fill>
    <fill>
      <patternFill patternType="solid">
        <fgColor rgb="FFDBDBDB"/>
        <bgColor/>
      </patternFill>
    </fill>
    <fill>
      <patternFill patternType="solid">
        <fgColor rgb="FFDBDBDB"/>
        <bgColor/>
      </patternFill>
    </fill>
    <fill>
      <patternFill patternType="solid">
        <fgColor rgb="FFD8D8D8"/>
        <bgColor/>
      </patternFill>
    </fill>
    <fill>
      <patternFill patternType="solid">
        <fgColor rgb="FFDBDBDB"/>
        <bgColor/>
      </patternFill>
    </fill>
    <fill>
      <patternFill patternType="solid">
        <fgColor rgb="FFA9CD90"/>
        <bgColor/>
      </patternFill>
    </fill>
    <fill>
      <patternFill patternType="solid">
        <fgColor rgb="FFA9CD90"/>
        <bgColor/>
      </patternFill>
    </fill>
    <fill>
      <patternFill patternType="solid">
        <fgColor rgb="FFA9CD90"/>
        <bgColor/>
      </patternFill>
    </fill>
    <fill>
      <patternFill patternType="solid">
        <fgColor rgb="FF9CC3E5"/>
        <bgColor/>
      </patternFill>
    </fill>
    <fill>
      <patternFill patternType="solid">
        <fgColor rgb="FF9CC3E5"/>
        <bgColor/>
      </patternFill>
    </fill>
    <fill>
      <patternFill patternType="solid">
        <fgColor rgb="FF223962"/>
        <bgColor/>
      </patternFill>
    </fill>
    <fill>
      <patternFill patternType="solid">
        <fgColor rgb="FF223962"/>
        <bgColor/>
      </patternFill>
    </fill>
    <fill>
      <patternFill patternType="solid">
        <fgColor rgb="FF223962"/>
        <bgColor/>
      </patternFill>
    </fill>
    <fill>
      <patternFill patternType="solid">
        <fgColor rgb="FF223962"/>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A9CD90"/>
        <bgColor/>
      </patternFill>
    </fill>
    <fill>
      <patternFill patternType="solid">
        <fgColor rgb="FF9CC3E5"/>
        <bgColor/>
      </patternFill>
    </fill>
    <fill>
      <patternFill patternType="solid">
        <fgColor rgb="FF9CC3E5"/>
        <bgColor/>
      </patternFill>
    </fill>
    <fill>
      <patternFill patternType="solid">
        <fgColor rgb="FF9CC3E5"/>
        <bgColor/>
      </patternFill>
    </fill>
    <fill>
      <patternFill patternType="solid">
        <fgColor rgb="FF9CC3E5"/>
        <bgColor/>
      </patternFill>
    </fill>
    <fill>
      <patternFill patternType="solid">
        <fgColor rgb="FFDBDBDB"/>
        <bgColor/>
      </patternFill>
    </fill>
    <fill>
      <patternFill patternType="solid">
        <fgColor rgb="FFDBDBDB"/>
        <bgColor/>
      </patternFill>
    </fill>
    <fill>
      <patternFill patternType="solid">
        <fgColor rgb="FF002060"/>
        <bgColor/>
      </patternFill>
    </fill>
    <fill>
      <patternFill patternType="solid">
        <fgColor rgb="FF002060"/>
        <bgColor/>
      </patternFill>
    </fill>
    <fill>
      <patternFill patternType="solid">
        <fgColor rgb="FF04E1BA"/>
        <bgColor/>
      </patternFill>
    </fill>
    <fill>
      <patternFill patternType="solid">
        <fgColor rgb="FFDBDBDB"/>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BDBDB"/>
        <bgColor/>
      </patternFill>
    </fill>
    <fill>
      <patternFill patternType="solid">
        <fgColor rgb="FFDBDBDB"/>
        <bgColor/>
      </patternFill>
    </fill>
    <fill>
      <patternFill patternType="solid">
        <fgColor rgb="FFDBDBDB"/>
        <bgColor/>
      </patternFill>
    </fill>
    <fill>
      <patternFill patternType="solid">
        <fgColor rgb="FFD8D8D8"/>
        <bgColor/>
      </patternFill>
    </fill>
    <fill>
      <patternFill patternType="solid">
        <fgColor rgb="FF9CC3E5"/>
        <bgColor/>
      </patternFill>
    </fill>
    <fill>
      <patternFill patternType="solid">
        <fgColor rgb="FF9CC3E5"/>
        <bgColor/>
      </patternFill>
    </fill>
    <fill>
      <patternFill patternType="solid">
        <fgColor rgb="FF9CC3E5"/>
        <bgColor/>
      </patternFill>
    </fill>
    <fill>
      <patternFill patternType="solid">
        <fgColor rgb="FF19A382"/>
        <bgColor/>
      </patternFill>
    </fill>
    <fill>
      <patternFill patternType="solid">
        <fgColor rgb="FF19A382"/>
        <bgColor/>
      </patternFill>
    </fill>
    <fill>
      <patternFill patternType="solid">
        <fgColor rgb="FF19A382"/>
        <bgColor/>
      </patternFill>
    </fill>
    <fill>
      <patternFill patternType="solid">
        <fgColor rgb="FF223962"/>
        <bgColor/>
      </patternFill>
    </fill>
    <fill>
      <patternFill patternType="solid">
        <fgColor rgb="FF223962"/>
        <bgColor/>
      </patternFill>
    </fill>
    <fill>
      <patternFill patternType="solid">
        <fgColor rgb="FF223962"/>
        <bgColor/>
      </patternFill>
    </fill>
    <fill>
      <patternFill patternType="solid">
        <fgColor rgb="FF19A382"/>
        <bgColor/>
      </patternFill>
    </fill>
    <fill>
      <patternFill patternType="solid">
        <fgColor rgb="FF359F76"/>
        <bgColor/>
      </patternFill>
    </fill>
    <fill>
      <patternFill patternType="solid">
        <fgColor rgb="FF359F76"/>
        <bgColor/>
      </patternFill>
    </fill>
    <fill>
      <patternFill patternType="solid">
        <fgColor rgb="FF359F76"/>
        <bgColor/>
      </patternFill>
    </fill>
    <fill>
      <patternFill patternType="solid">
        <fgColor rgb="FF359F76"/>
        <bgColor/>
      </patternFill>
    </fill>
    <fill>
      <patternFill patternType="solid">
        <fgColor rgb="FF9CC3E5"/>
        <bgColor/>
      </patternFill>
    </fill>
    <fill>
      <patternFill patternType="solid">
        <fgColor rgb="FF04E1BA"/>
        <bgColor/>
      </patternFill>
    </fill>
    <fill>
      <patternFill patternType="solid">
        <fgColor rgb="FF04E1BA"/>
        <bgColor/>
      </patternFill>
    </fill>
    <fill>
      <patternFill patternType="solid">
        <fgColor rgb="FF9CC3E5"/>
        <bgColor/>
      </patternFill>
    </fill>
    <fill>
      <patternFill patternType="solid">
        <fgColor rgb="FFD9D9D9"/>
        <bgColor/>
      </patternFill>
    </fill>
    <fill>
      <patternFill patternType="solid">
        <fgColor rgb="FFD9D9D9"/>
        <bgColor/>
      </patternFill>
    </fill>
    <fill>
      <patternFill patternType="solid">
        <fgColor rgb="FFD8D8D8"/>
        <bgColor/>
      </patternFill>
    </fill>
    <fill>
      <patternFill patternType="solid">
        <fgColor rgb="FFD9D9D9"/>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04E1BA"/>
        <bgColor/>
      </patternFill>
    </fill>
    <fill>
      <patternFill patternType="solid">
        <fgColor rgb="FF9CC3E5"/>
        <bgColor/>
      </patternFill>
    </fill>
    <fill>
      <patternFill patternType="solid">
        <fgColor rgb="FF9CC3E5"/>
        <bgColor/>
      </patternFill>
    </fill>
    <fill>
      <patternFill patternType="solid">
        <fgColor rgb="FF9CC3E5"/>
        <bgColor/>
      </patternFill>
    </fill>
    <fill>
      <patternFill patternType="solid">
        <fgColor rgb="FF223962"/>
        <bgColor/>
      </patternFill>
    </fill>
    <fill>
      <patternFill patternType="solid">
        <fgColor rgb="FFD8D8D8"/>
        <bgColor/>
      </patternFill>
    </fill>
    <fill>
      <patternFill patternType="solid">
        <fgColor rgb="FF9CC3E5"/>
        <bgColor/>
      </patternFill>
    </fill>
    <fill>
      <patternFill patternType="solid">
        <fgColor rgb="FF359F76"/>
        <bgColor/>
      </patternFill>
    </fill>
    <fill>
      <patternFill patternType="solid">
        <fgColor rgb="FF359F76"/>
        <bgColor/>
      </patternFill>
    </fill>
    <fill>
      <patternFill patternType="solid">
        <fgColor rgb="FF359F76"/>
        <bgColor/>
      </patternFill>
    </fill>
    <fill>
      <patternFill patternType="solid">
        <fgColor rgb="FFFFC000"/>
        <bgColor/>
      </patternFill>
    </fill>
    <fill>
      <patternFill patternType="solid">
        <fgColor rgb="FFFFC000"/>
        <bgColor/>
      </patternFill>
    </fill>
    <fill>
      <patternFill patternType="solid">
        <fgColor rgb="FF223962"/>
        <bgColor/>
      </patternFill>
    </fill>
    <fill>
      <patternFill patternType="solid">
        <fgColor rgb="FFCFCFCF"/>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BDBDB"/>
        <bgColor/>
      </patternFill>
    </fill>
    <fill>
      <patternFill patternType="solid">
        <fgColor rgb="FFDBDBDB"/>
        <bgColor/>
      </patternFill>
    </fill>
    <fill>
      <patternFill patternType="solid">
        <fgColor rgb="FFDBDBDB"/>
        <bgColor/>
      </patternFill>
    </fill>
    <fill>
      <patternFill patternType="solid">
        <fgColor rgb="FF9CC3E5"/>
        <bgColor/>
      </patternFill>
    </fill>
    <fill>
      <patternFill patternType="solid">
        <fgColor rgb="FFF4B183"/>
        <bgColor/>
      </patternFill>
    </fill>
    <fill>
      <patternFill patternType="solid">
        <fgColor rgb="FFF4B183"/>
        <bgColor/>
      </patternFill>
    </fill>
    <fill>
      <patternFill patternType="solid">
        <fgColor rgb="FF9CC3E5"/>
        <bgColor/>
      </patternFill>
    </fill>
    <fill>
      <patternFill patternType="solid">
        <fgColor rgb="FF9CC3E5"/>
        <bgColor/>
      </patternFill>
    </fill>
    <fill>
      <patternFill patternType="solid">
        <fgColor rgb="FF9CC3E5"/>
        <bgColor/>
      </patternFill>
    </fill>
    <fill>
      <patternFill patternType="solid">
        <fgColor rgb="FFDBDBDB"/>
        <bgColor/>
      </patternFill>
    </fill>
    <fill>
      <patternFill patternType="solid">
        <fgColor rgb="FF002060"/>
        <bgColor/>
      </patternFill>
    </fill>
    <fill>
      <patternFill patternType="solid">
        <fgColor rgb="FF002060"/>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
      <patternFill patternType="solid">
        <fgColor rgb="FFD8D8D8"/>
        <bgColor/>
      </patternFill>
    </fill>
  </fills>
  <borders count="38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diagonalDown="true">
      <left style="thin">
        <color rgb="FF000000"/>
      </left>
      <right/>
      <top style="thin">
        <color rgb="FF000000"/>
      </top>
      <bottom style="thin">
        <color rgb="FF000000"/>
      </bottom>
      <diagonal style="thin">
        <color rgb="FF000000"/>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diagonalDown="true">
      <left style="thin">
        <color rgb="FF000000"/>
      </left>
      <right style="thin">
        <color rgb="FF000000"/>
      </right>
      <top/>
      <bottom style="thin">
        <color rgb="FF000000"/>
      </bottom>
      <diagonal style="thin">
        <color rgb="FF000000"/>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bottom/>
      <diagonal/>
    </border>
    <border>
      <left/>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diagonal/>
    </border>
    <border>
      <left style="thin">
        <color rgb="FF000000"/>
      </left>
      <right/>
      <top/>
      <bottom style="thin">
        <color rgb="FF000000"/>
      </bottom>
      <diagonal/>
    </border>
    <border>
      <left style="thin">
        <color rgb="FF000000"/>
      </left>
      <right style="thin">
        <color rgb="FFFFFFFF"/>
      </right>
      <top style="thin">
        <color rgb="FF000000"/>
      </top>
      <bottom style="thin">
        <color rgb="FFFFFFFF"/>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FFFFFF"/>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FFFFFF"/>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FFFFFF"/>
      </right>
      <top style="thin">
        <color rgb="FFFFFFFF"/>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FFFFFF"/>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diagonalDown="true">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diagonalDown="true">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diagonalDown="true">
      <left/>
      <right style="thin">
        <color rgb="FF000000"/>
      </right>
      <top style="thin">
        <color rgb="FF000000"/>
      </top>
      <bottom style="thin">
        <color rgb="FF000000"/>
      </bottom>
      <diagonal style="thin">
        <color rgb="FF000000"/>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diagonalDown="true">
      <left style="thin">
        <color rgb="FF000000"/>
      </left>
      <right style="thin">
        <color rgb="FF000000"/>
      </right>
      <top style="thin">
        <color rgb="FF000000"/>
      </top>
      <bottom style="thin">
        <color rgb="FF000000"/>
      </bottom>
      <diagonal style="thin">
        <color rgb="FF000000"/>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diagonalDown="true">
      <left style="thin">
        <color rgb="FF000000"/>
      </left>
      <right style="thin">
        <color rgb="FF000000"/>
      </right>
      <top/>
      <bottom style="thin">
        <color rgb="FF000000"/>
      </bottom>
      <diagonal style="thin">
        <color rgb="FF000000"/>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diagonalDown="true">
      <left style="thin">
        <color rgb="FF000000"/>
      </left>
      <right style="thin">
        <color rgb="FF000000"/>
      </right>
      <top/>
      <bottom style="thin">
        <color rgb="FF000000"/>
      </bottom>
      <diagonal style="thin">
        <color rgb="FF000000"/>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diagonalDown="true">
      <left style="thin">
        <color rgb="FF000000"/>
      </left>
      <right style="thin">
        <color rgb="FF000000"/>
      </right>
      <top/>
      <bottom style="thin">
        <color rgb="FF000000"/>
      </bottom>
      <diagonal style="thin">
        <color rgb="FF000000"/>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bottom/>
      <diagonal/>
    </border>
    <border>
      <left/>
      <right style="thin">
        <color rgb="FF000000"/>
      </right>
      <top/>
      <bottom/>
      <diagonal/>
    </border>
    <border diagonalDown="true">
      <left style="thin">
        <color rgb="FF000000"/>
      </left>
      <right style="thin">
        <color rgb="FF000000"/>
      </right>
      <top style="thin">
        <color rgb="FF000000"/>
      </top>
      <bottom style="thin">
        <color rgb="FF000000"/>
      </bottom>
      <diagonal style="thin">
        <color rgb="FF000000"/>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s>
  <cellStyleXfs count="1">
    <xf applyAlignment="true" applyBorder="false" applyFill="false" applyFont="false" applyNumberFormat="false" applyProtection="false" borderId="0" fillId="0" fontId="0" numFmtId="0"/>
  </cellStyleXfs>
  <cellXfs count="387">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true" applyFont="true" applyNumberFormat="false" applyProtection="false" borderId="2" fillId="3" fontId="2" numFmtId="0" xfId="0">
      <alignment horizontal="left" vertical="center" wrapText="true"/>
    </xf>
    <xf applyAlignment="true" applyBorder="false" applyFill="true" applyFont="true" applyNumberFormat="false" applyProtection="false" borderId="3" fillId="4" fontId="3" numFmtId="0" xfId="0">
      <alignment horizontal="left" vertical="center" wrapText="true"/>
    </xf>
    <xf applyAlignment="true" applyBorder="false" applyFill="true" applyFont="true" applyNumberFormat="false" applyProtection="false" borderId="4" fillId="5" fontId="3" numFmtId="0" xfId="0">
      <alignment horizontal="center" vertical="center" wrapText="true"/>
    </xf>
    <xf applyAlignment="true" applyBorder="false" applyFill="true" applyFont="true" applyNumberFormat="false" applyProtection="false" borderId="5" fillId="6" fontId="2" numFmtId="0" xfId="0">
      <alignment horizontal="center" vertical="center" wrapText="true"/>
    </xf>
    <xf applyAlignment="true" applyBorder="false" applyFill="false" applyFont="true" applyNumberFormat="false" applyProtection="false" borderId="6" fillId="0" fontId="3" numFmtId="0" xfId="0">
      <alignment horizontal="center" vertical="center" wrapText="true"/>
    </xf>
    <xf applyAlignment="true" applyBorder="false" applyFill="false" applyFont="true" applyNumberFormat="false" applyProtection="false" borderId="7" fillId="0" fontId="2" numFmtId="0" xfId="0">
      <alignment horizontal="center" vertical="center" wrapText="true"/>
    </xf>
    <xf applyAlignment="true" applyBorder="false" applyFill="false" applyFont="true" applyNumberFormat="false" applyProtection="false" borderId="8" fillId="0" fontId="1" numFmtId="0" xfId="0">
      <alignment horizontal="center" vertical="center" wrapText="true"/>
    </xf>
    <xf applyAlignment="true" applyBorder="false" applyFill="false" applyFont="true" applyNumberFormat="false" applyProtection="false" borderId="9" fillId="0" fontId="2" numFmtId="0" xfId="0">
      <alignment horizontal="left" vertical="center" wrapText="true"/>
    </xf>
    <xf applyAlignment="true" applyBorder="false" applyFill="false" applyFont="true" applyNumberFormat="false" applyProtection="false" borderId="10" fillId="0" fontId="3" numFmtId="0" xfId="0">
      <alignment horizontal="left" vertical="center" wrapText="true"/>
    </xf>
    <xf applyAlignment="true" applyBorder="false" applyFill="true" applyFont="true" applyNumberFormat="false" applyProtection="false" borderId="11" fillId="7" fontId="4" numFmtId="0" xfId="0">
      <alignment horizontal="left" vertical="center" wrapText="true"/>
    </xf>
    <xf applyAlignment="true" applyBorder="false" applyFill="true" applyFont="true" applyNumberFormat="false" applyProtection="false" borderId="12" fillId="8" fontId="5" numFmtId="0" xfId="0">
      <alignment horizontal="center" vertical="center" wrapText="true"/>
    </xf>
    <xf applyAlignment="true" applyBorder="false" applyFill="false" applyFont="true" applyNumberFormat="false" applyProtection="false" borderId="13" fillId="0" fontId="6" numFmtId="0" xfId="0">
      <alignment horizontal="center" vertical="center"/>
    </xf>
    <xf applyAlignment="true" applyBorder="false" applyFill="true" applyFont="true" applyNumberFormat="false" applyProtection="false" borderId="14" fillId="9" fontId="4" numFmtId="0" xfId="0">
      <alignment horizontal="left" vertical="center" wrapText="true"/>
    </xf>
    <xf applyAlignment="true" applyBorder="false" applyFill="true" applyFont="true" applyNumberFormat="false" applyProtection="false" borderId="15" fillId="10" fontId="3" numFmtId="0" xfId="0">
      <alignment horizontal="center" vertical="center" wrapText="true"/>
    </xf>
    <xf applyAlignment="true" applyBorder="false" applyFill="true" applyFont="true" applyNumberFormat="true" applyProtection="false" borderId="16" fillId="11" fontId="7" numFmtId="164" xfId="0">
      <alignment horizontal="center" vertical="center"/>
    </xf>
    <xf applyAlignment="true" applyBorder="false" applyFill="true" applyFont="true" applyNumberFormat="false" applyProtection="false" borderId="17" fillId="12" fontId="7" numFmtId="0" xfId="0">
      <alignment horizontal="center" vertical="center"/>
    </xf>
    <xf applyAlignment="true" applyBorder="false" applyFill="false" applyFont="true" applyNumberFormat="false" applyProtection="false" borderId="18" fillId="0" fontId="8" numFmtId="0" xfId="0">
      <alignment horizontal="center" vertical="center"/>
    </xf>
    <xf applyAlignment="true" applyBorder="false" applyFill="true" applyFont="true" applyNumberFormat="false" applyProtection="false" borderId="19" fillId="13" fontId="7" numFmtId="0" xfId="0">
      <alignment horizontal="center" vertical="center" wrapText="true"/>
    </xf>
    <xf applyAlignment="true" applyBorder="false" applyFill="false" applyFont="true" applyNumberFormat="false" applyProtection="false" borderId="20" fillId="0" fontId="7" numFmtId="0" xfId="0">
      <alignment horizontal="center" vertical="center" wrapText="true"/>
    </xf>
    <xf applyAlignment="true" applyBorder="false" applyFill="false" applyFont="true" applyNumberFormat="true" applyProtection="false" borderId="21" fillId="0" fontId="7" numFmtId="165" xfId="0">
      <alignment horizontal="center" vertical="center"/>
    </xf>
    <xf applyAlignment="true" applyBorder="false" applyFill="false" applyFont="true" applyNumberFormat="false" applyProtection="false" borderId="22" fillId="0" fontId="7" numFmtId="0" xfId="0">
      <alignment horizontal="center" vertical="center"/>
    </xf>
    <xf applyAlignment="true" applyBorder="false" applyFill="false" applyFont="true" applyNumberFormat="false" applyProtection="false" borderId="23" fillId="0" fontId="8" numFmtId="0" xfId="0">
      <alignment horizontal="center" vertical="center"/>
    </xf>
    <xf applyAlignment="true" applyBorder="false" applyFill="false" applyFont="true" applyNumberFormat="false" applyProtection="false" borderId="24" fillId="0" fontId="8" numFmtId="0" xfId="0">
      <alignment horizontal="center" vertical="center"/>
    </xf>
    <xf applyAlignment="true" applyBorder="false" applyFill="false" applyFont="true" applyNumberFormat="false" applyProtection="false" borderId="25" fillId="0" fontId="8" numFmtId="0" xfId="0">
      <alignment horizontal="center" vertical="center"/>
    </xf>
    <xf applyAlignment="true" applyBorder="false" applyFill="true" applyFont="true" applyNumberFormat="false" applyProtection="false" borderId="26" fillId="14" fontId="9" numFmtId="0" xfId="0">
      <alignment horizontal="center" vertical="center"/>
    </xf>
    <xf applyAlignment="true" applyBorder="false" applyFill="true" applyFont="true" applyNumberFormat="false" applyProtection="false" borderId="27" fillId="15" fontId="10" numFmtId="0" xfId="0">
      <alignment horizontal="center" vertical="center"/>
    </xf>
    <xf applyAlignment="true" applyBorder="false" applyFill="true" applyFont="true" applyNumberFormat="false" applyProtection="false" borderId="28" fillId="16" fontId="10" numFmtId="0" xfId="0">
      <alignment horizontal="center" vertical="center" wrapText="true"/>
    </xf>
    <xf applyAlignment="true" applyBorder="false" applyFill="true" applyFont="true" applyNumberFormat="false" applyProtection="false" borderId="29" fillId="17" fontId="10" numFmtId="0" xfId="0">
      <alignment horizontal="center" vertical="center"/>
    </xf>
    <xf applyAlignment="true" applyBorder="false" applyFill="false" applyFont="true" applyNumberFormat="false" applyProtection="false" borderId="30" fillId="0" fontId="11" numFmtId="0" xfId="0">
      <alignment horizontal="center" vertical="center" wrapText="true"/>
    </xf>
    <xf applyAlignment="true" applyBorder="false" applyFill="true" applyFont="true" applyNumberFormat="false" applyProtection="false" borderId="31" fillId="18" fontId="10" numFmtId="0" xfId="0">
      <alignment horizontal="center" vertical="center"/>
    </xf>
    <xf applyAlignment="true" applyBorder="false" applyFill="false" applyFont="true" applyNumberFormat="false" applyProtection="false" borderId="32" fillId="0" fontId="12" numFmtId="0" xfId="0">
      <alignment horizontal="left" vertical="center" wrapText="true"/>
    </xf>
    <xf applyAlignment="true" applyBorder="false" applyFill="false" applyFont="true" applyNumberFormat="false" applyProtection="false" borderId="33" fillId="0" fontId="6" numFmtId="0" xfId="0">
      <alignment horizontal="center" vertical="center" wrapText="true"/>
    </xf>
    <xf applyAlignment="true" applyBorder="false" applyFill="false" applyFont="true" applyNumberFormat="true" applyProtection="false" borderId="34" fillId="0" fontId="6" numFmtId="166" xfId="0">
      <alignment horizontal="center" vertical="center" wrapText="true"/>
    </xf>
    <xf applyAlignment="true" applyBorder="false" applyFill="true" applyFont="true" applyNumberFormat="false" applyProtection="false" borderId="35" fillId="19" fontId="5" numFmtId="0" xfId="0">
      <alignment horizontal="center" vertical="center" wrapText="true"/>
    </xf>
    <xf applyAlignment="true" applyBorder="false" applyFill="false" applyFont="true" applyNumberFormat="false" applyProtection="false" borderId="36" fillId="0" fontId="13" numFmtId="0" xfId="0">
      <alignment horizontal="left" vertical="center" wrapText="true"/>
    </xf>
    <xf applyAlignment="true" applyBorder="false" applyFill="false" applyFont="true" applyNumberFormat="false" applyProtection="false" borderId="37" fillId="0" fontId="6" numFmtId="0" xfId="0">
      <alignment horizontal="center" vertical="center" wrapText="true"/>
    </xf>
    <xf applyAlignment="true" applyBorder="false" applyFill="false" applyFont="true" applyNumberFormat="false" applyProtection="false" borderId="38" fillId="0" fontId="6" numFmtId="0" xfId="0">
      <alignment horizontal="left" vertical="center" wrapText="true"/>
    </xf>
    <xf applyAlignment="true" applyBorder="false" applyFill="true" applyFont="true" applyNumberFormat="false" applyProtection="false" borderId="39" fillId="20" fontId="5" numFmtId="0" xfId="0">
      <alignment horizontal="center" vertical="center" wrapText="true"/>
    </xf>
    <xf applyAlignment="true" applyBorder="false" applyFill="false" applyFont="true" applyNumberFormat="false" applyProtection="false" borderId="40" fillId="0" fontId="14" numFmtId="0" xfId="0">
      <alignment horizontal="left" vertical="center" wrapText="true"/>
    </xf>
    <xf applyAlignment="true" applyBorder="false" applyFill="true" applyFont="true" applyNumberFormat="false" applyProtection="false" borderId="41" fillId="21" fontId="5" numFmtId="0" xfId="0">
      <alignment horizontal="center" vertical="center"/>
    </xf>
    <xf applyAlignment="true" applyBorder="false" applyFill="false" applyFont="true" applyNumberFormat="false" applyProtection="false" borderId="42" fillId="0" fontId="15" numFmtId="0" xfId="0">
      <alignment horizontal="left" vertical="center" wrapText="true"/>
    </xf>
    <xf applyAlignment="true" applyBorder="false" applyFill="false" applyFont="true" applyNumberFormat="false" applyProtection="false" borderId="43" fillId="0" fontId="6" numFmtId="0" xfId="0">
      <alignment vertical="center" wrapText="true"/>
    </xf>
    <xf applyAlignment="true" applyBorder="false" applyFill="false" applyFont="true" applyNumberFormat="false" applyProtection="false" borderId="44" fillId="0" fontId="6" numFmtId="0" xfId="0">
      <alignment horizontal="left" vertical="center" wrapText="true"/>
    </xf>
    <xf applyAlignment="true" applyBorder="false" applyFill="true" applyFont="true" applyNumberFormat="false" applyProtection="false" borderId="45" fillId="22" fontId="16" numFmtId="0" xfId="0">
      <alignment horizontal="center" vertical="center" wrapText="true"/>
    </xf>
    <xf applyAlignment="true" applyBorder="false" applyFill="true" applyFont="true" applyNumberFormat="false" applyProtection="false" borderId="46" fillId="23" fontId="5" numFmtId="0" xfId="0">
      <alignment horizontal="center" vertical="center" wrapText="true"/>
    </xf>
    <xf applyAlignment="true" applyBorder="false" applyFill="false" applyFont="true" applyNumberFormat="false" applyProtection="false" borderId="47" fillId="0" fontId="17" numFmtId="0" xfId="0">
      <alignment horizontal="left" vertical="center" wrapText="true"/>
    </xf>
    <xf applyAlignment="true" applyBorder="false" applyFill="false" applyFont="true" applyNumberFormat="true" applyProtection="false" borderId="48" fillId="0" fontId="6" numFmtId="167" xfId="0">
      <alignment horizontal="left" vertical="center" wrapText="true"/>
    </xf>
    <xf applyAlignment="true" applyBorder="false" applyFill="true" applyFont="true" applyNumberFormat="false" applyProtection="false" borderId="49" fillId="24" fontId="18" numFmtId="0" xfId="0">
      <alignment horizontal="center" vertical="center" wrapText="true"/>
    </xf>
    <xf applyAlignment="true" applyBorder="false" applyFill="false" applyFont="true" applyNumberFormat="true" applyProtection="false" borderId="50" fillId="0" fontId="13" numFmtId="168" xfId="0">
      <alignment horizontal="center" vertical="center" wrapText="true"/>
    </xf>
    <xf applyAlignment="true" applyBorder="false" applyFill="false" applyFont="true" applyNumberFormat="true" applyProtection="false" borderId="51" fillId="0" fontId="13" numFmtId="169" xfId="0">
      <alignment horizontal="center" vertical="center" wrapText="true"/>
    </xf>
    <xf applyAlignment="true" applyBorder="false" applyFill="false" applyFont="true" applyNumberFormat="true" applyProtection="false" borderId="52" fillId="0" fontId="19" numFmtId="170" xfId="0">
      <alignment horizontal="center" vertical="center" wrapText="true"/>
    </xf>
    <xf applyAlignment="true" applyBorder="false" applyFill="false" applyFont="true" applyNumberFormat="true" applyProtection="false" borderId="53" fillId="0" fontId="8" numFmtId="171" xfId="0">
      <alignment horizontal="center" vertical="center"/>
    </xf>
    <xf applyAlignment="true" applyBorder="false" applyFill="false" applyFont="true" applyNumberFormat="true" applyProtection="false" borderId="54" fillId="0" fontId="13" numFmtId="172" xfId="0">
      <alignment horizontal="center" vertical="center" wrapText="true"/>
    </xf>
    <xf applyAlignment="true" applyBorder="false" applyFill="false" applyFont="true" applyNumberFormat="false" applyProtection="false" borderId="55" fillId="0" fontId="20" numFmtId="0" xfId="0">
      <alignment vertical="center"/>
    </xf>
    <xf applyAlignment="true" applyBorder="false" applyFill="false" applyFont="true" applyNumberFormat="true" applyProtection="false" borderId="56" fillId="0" fontId="13" numFmtId="173" xfId="0">
      <alignment horizontal="center" vertical="center" wrapText="true"/>
    </xf>
    <xf applyAlignment="true" applyBorder="false" applyFill="false" applyFont="true" applyNumberFormat="true" applyProtection="false" borderId="57" fillId="0" fontId="13" numFmtId="174" xfId="0">
      <alignment horizontal="center" vertical="center" wrapText="true"/>
    </xf>
    <xf applyAlignment="true" applyBorder="false" applyFill="false" applyFont="true" applyNumberFormat="true" applyProtection="false" borderId="58" fillId="0" fontId="20" numFmtId="175" xfId="0">
      <alignment vertical="center"/>
    </xf>
    <xf applyAlignment="true" applyBorder="false" applyFill="false" applyFont="true" applyNumberFormat="true" applyProtection="false" borderId="59" fillId="0" fontId="13" numFmtId="176" xfId="0">
      <alignment horizontal="center" vertical="center" wrapText="true"/>
    </xf>
    <xf applyAlignment="true" applyBorder="false" applyFill="false" applyFont="true" applyNumberFormat="true" applyProtection="false" borderId="60" fillId="0" fontId="8" numFmtId="177" xfId="0">
      <alignment horizontal="center" vertical="center"/>
    </xf>
    <xf applyAlignment="true" applyBorder="false" applyFill="false" applyFont="true" applyNumberFormat="true" applyProtection="false" borderId="61" fillId="0" fontId="13" numFmtId="178" xfId="0">
      <alignment horizontal="center" vertical="center" wrapText="true"/>
    </xf>
    <xf applyAlignment="true" applyBorder="false" applyFill="false" applyFont="true" applyNumberFormat="true" applyProtection="false" borderId="62" fillId="0" fontId="15" numFmtId="179" xfId="0">
      <alignment vertical="center" wrapText="true"/>
    </xf>
    <xf applyAlignment="true" applyBorder="false" applyFill="false" applyFont="true" applyNumberFormat="true" applyProtection="false" borderId="63" fillId="0" fontId="6" numFmtId="180" xfId="0">
      <alignment horizontal="left" vertical="top" wrapText="true"/>
    </xf>
    <xf applyAlignment="true" applyBorder="false" applyFill="false" applyFont="true" applyNumberFormat="true" applyProtection="false" borderId="64" fillId="0" fontId="13" numFmtId="181" xfId="0">
      <alignment horizontal="left" vertical="center" wrapText="true"/>
    </xf>
    <xf applyAlignment="true" applyBorder="false" applyFill="true" applyFont="true" applyNumberFormat="false" applyProtection="false" borderId="65" fillId="25" fontId="21" numFmtId="0" xfId="0">
      <alignment horizontal="center" vertical="center" wrapText="true"/>
    </xf>
    <xf applyAlignment="true" applyBorder="false" applyFill="true" applyFont="true" applyNumberFormat="false" applyProtection="false" borderId="66" fillId="26" fontId="21" numFmtId="0" xfId="0">
      <alignment horizontal="center" vertical="center" wrapText="true"/>
    </xf>
    <xf applyAlignment="true" applyBorder="false" applyFill="true" applyFont="true" applyNumberFormat="false" applyProtection="false" borderId="67" fillId="27" fontId="21" numFmtId="0" xfId="0">
      <alignment horizontal="center" vertical="center" wrapText="true"/>
    </xf>
    <xf applyAlignment="true" applyBorder="false" applyFill="false" applyFont="true" applyNumberFormat="true" applyProtection="false" borderId="68" fillId="0" fontId="12" numFmtId="182" xfId="0">
      <alignment horizontal="center" vertical="center" wrapText="true"/>
    </xf>
    <xf applyAlignment="true" applyBorder="false" applyFill="false" applyFont="true" applyNumberFormat="true" applyProtection="false" borderId="69" fillId="0" fontId="19" numFmtId="183" xfId="0">
      <alignment horizontal="center" vertical="center" wrapText="true"/>
    </xf>
    <xf applyAlignment="true" applyBorder="false" applyFill="false" applyFont="true" applyNumberFormat="true" applyProtection="false" borderId="70" fillId="0" fontId="13" numFmtId="184" xfId="0">
      <alignment horizontal="center" vertical="top" wrapText="true"/>
    </xf>
    <xf applyAlignment="true" applyBorder="false" applyFill="false" applyFont="true" applyNumberFormat="false" applyProtection="false" borderId="71" fillId="0" fontId="6" numFmtId="0" xfId="0">
      <alignment horizontal="center" vertical="center" wrapText="true"/>
    </xf>
    <xf applyAlignment="true" applyBorder="false" applyFill="false" applyFont="true" applyNumberFormat="false" applyProtection="false" borderId="72" fillId="0" fontId="6" numFmtId="0" xfId="0">
      <alignment horizontal="center" vertical="center" wrapText="true"/>
    </xf>
    <xf applyAlignment="true" applyBorder="false" applyFill="false" applyFont="true" applyNumberFormat="false" applyProtection="false" borderId="73" fillId="0" fontId="6" numFmtId="0" xfId="0">
      <alignment horizontal="center" vertical="center" wrapText="true"/>
    </xf>
    <xf applyAlignment="true" applyBorder="false" applyFill="false" applyFont="true" applyNumberFormat="false" applyProtection="false" borderId="74" fillId="0" fontId="6" numFmtId="0" xfId="0">
      <alignment horizontal="center" vertical="center" wrapText="true"/>
    </xf>
    <xf applyAlignment="true" applyBorder="false" applyFill="true" applyFont="true" applyNumberFormat="true" applyProtection="false" borderId="75" fillId="28" fontId="8" numFmtId="185" xfId="0">
      <alignment horizontal="center" vertical="center"/>
    </xf>
    <xf applyAlignment="true" applyBorder="false" applyFill="true" applyFont="true" applyNumberFormat="true" applyProtection="false" borderId="76" fillId="29" fontId="13" numFmtId="186" xfId="0">
      <alignment horizontal="center" vertical="center"/>
    </xf>
    <xf applyAlignment="true" applyBorder="false" applyFill="true" applyFont="true" applyNumberFormat="true" applyProtection="false" borderId="77" fillId="30" fontId="13" numFmtId="187" xfId="0">
      <alignment horizontal="center" vertical="center"/>
    </xf>
    <xf applyAlignment="true" applyBorder="false" applyFill="true" applyFont="true" applyNumberFormat="true" applyProtection="false" borderId="78" fillId="31" fontId="13" numFmtId="188" xfId="0">
      <alignment horizontal="center" vertical="center"/>
    </xf>
    <xf applyAlignment="true" applyBorder="false" applyFill="true" applyFont="true" applyNumberFormat="true" applyProtection="false" borderId="79" fillId="32" fontId="13" numFmtId="189" xfId="0">
      <alignment horizontal="center" vertical="center"/>
    </xf>
    <xf applyAlignment="true" applyBorder="false" applyFill="true" applyFont="true" applyNumberFormat="true" applyProtection="false" borderId="80" fillId="33" fontId="13" numFmtId="190" xfId="0">
      <alignment horizontal="center" vertical="center"/>
    </xf>
    <xf applyAlignment="true" applyBorder="false" applyFill="true" applyFont="true" applyNumberFormat="true" applyProtection="false" borderId="81" fillId="34" fontId="8" numFmtId="191" xfId="0">
      <alignment horizontal="center" vertical="center"/>
    </xf>
    <xf applyAlignment="true" applyBorder="false" applyFill="false" applyFont="true" applyNumberFormat="true" applyProtection="false" borderId="82" fillId="0" fontId="6" numFmtId="192" xfId="0">
      <alignment vertical="top" wrapText="true"/>
    </xf>
    <xf applyAlignment="true" applyBorder="false" applyFill="false" applyFont="true" applyNumberFormat="true" applyProtection="false" borderId="83" fillId="0" fontId="6" numFmtId="193" xfId="0">
      <alignment horizontal="left" vertical="top"/>
    </xf>
    <xf applyAlignment="true" applyBorder="false" applyFill="false" applyFont="true" applyNumberFormat="true" applyProtection="false" borderId="84" fillId="0" fontId="13" numFmtId="194" xfId="0">
      <alignment vertical="center" wrapText="true"/>
    </xf>
    <xf applyAlignment="true" applyBorder="false" applyFill="true" applyFont="true" applyNumberFormat="false" applyProtection="false" borderId="85" fillId="35" fontId="22" numFmtId="0" xfId="0">
      <alignment horizontal="center" vertical="center"/>
    </xf>
    <xf applyAlignment="true" applyBorder="false" applyFill="true" applyFont="true" applyNumberFormat="false" applyProtection="false" borderId="86" fillId="36" fontId="8" numFmtId="0" xfId="0">
      <alignment horizontal="center" vertical="center"/>
    </xf>
    <xf applyAlignment="true" applyBorder="false" applyFill="true" applyFont="true" applyNumberFormat="false" applyProtection="false" borderId="87" fillId="37" fontId="8" numFmtId="0" xfId="0">
      <alignment horizontal="center" vertical="center"/>
    </xf>
    <xf applyAlignment="true" applyBorder="false" applyFill="true" applyFont="true" applyNumberFormat="false" applyProtection="false" borderId="88" fillId="38" fontId="8" numFmtId="0" xfId="0">
      <alignment horizontal="center" vertical="center"/>
    </xf>
    <xf applyAlignment="true" applyBorder="false" applyFill="true" applyFont="true" applyNumberFormat="true" applyProtection="false" borderId="89" fillId="39" fontId="5" numFmtId="195" xfId="0">
      <alignment horizontal="center" vertical="center" wrapText="true"/>
    </xf>
    <xf applyAlignment="true" applyBorder="false" applyFill="false" applyFont="true" applyNumberFormat="true" applyProtection="false" borderId="90" fillId="0" fontId="6" numFmtId="196" xfId="0">
      <alignment horizontal="center" vertical="center"/>
    </xf>
    <xf applyAlignment="true" applyBorder="false" applyFill="true" applyFont="true" applyNumberFormat="false" applyProtection="false" borderId="91" fillId="40" fontId="8" numFmtId="0" xfId="0">
      <alignment horizontal="center" vertical="center"/>
    </xf>
    <xf applyAlignment="true" applyBorder="false" applyFill="false" applyFont="true" applyNumberFormat="false" applyProtection="false" borderId="92" fillId="0" fontId="6" numFmtId="0" xfId="0">
      <alignment vertical="center"/>
    </xf>
    <xf applyAlignment="true" applyBorder="false" applyFill="false" applyFont="true" applyNumberFormat="false" applyProtection="false" borderId="93" fillId="0" fontId="8" numFmtId="0" xfId="0">
      <alignment horizontal="center" vertical="center"/>
    </xf>
    <xf applyAlignment="true" applyBorder="false" applyFill="false" applyFont="true" applyNumberFormat="false" applyProtection="false" borderId="94" fillId="0" fontId="8" numFmtId="0" xfId="0">
      <alignment horizontal="center" vertical="center"/>
    </xf>
    <xf applyAlignment="true" applyBorder="false" applyFill="true" applyFont="true" applyNumberFormat="false" applyProtection="false" borderId="95" fillId="41" fontId="8" numFmtId="0" xfId="0">
      <alignment horizontal="center" vertical="center"/>
    </xf>
    <xf applyAlignment="true" applyBorder="false" applyFill="true" applyFont="true" applyNumberFormat="false" applyProtection="false" borderId="96" fillId="42" fontId="8" numFmtId="0" xfId="0">
      <alignment horizontal="center" vertical="center"/>
    </xf>
    <xf applyAlignment="true" applyBorder="false" applyFill="true" applyFont="true" applyNumberFormat="false" applyProtection="false" borderId="97" fillId="43" fontId="8" numFmtId="0" xfId="0">
      <alignment horizontal="center" vertical="center"/>
    </xf>
    <xf applyAlignment="true" applyBorder="false" applyFill="false" applyFont="true" applyNumberFormat="false" applyProtection="false" borderId="98" fillId="0" fontId="6" numFmtId="0" xfId="0">
      <alignment horizontal="center" vertical="center"/>
    </xf>
    <xf applyAlignment="true" applyBorder="false" applyFill="false" applyFont="true" applyNumberFormat="false" applyProtection="false" borderId="99" fillId="0" fontId="6" numFmtId="0" xfId="0">
      <alignment horizontal="center" vertical="center"/>
    </xf>
    <xf applyAlignment="true" applyBorder="false" applyFill="false" applyFont="true" applyNumberFormat="false" applyProtection="false" borderId="100" fillId="0" fontId="6" numFmtId="0" xfId="0">
      <alignment horizontal="center" vertical="center"/>
    </xf>
    <xf applyAlignment="true" applyBorder="false" applyFill="true" applyFont="true" applyNumberFormat="false" applyProtection="false" borderId="101" fillId="44" fontId="8" numFmtId="0" xfId="0">
      <alignment horizontal="center" vertical="center"/>
    </xf>
    <xf applyAlignment="true" applyBorder="false" applyFill="true" applyFont="true" applyNumberFormat="false" applyProtection="false" borderId="102" fillId="45" fontId="8" numFmtId="0" xfId="0">
      <alignment horizontal="center" vertical="center"/>
    </xf>
    <xf applyAlignment="true" applyBorder="false" applyFill="true" applyFont="true" applyNumberFormat="false" applyProtection="false" borderId="103" fillId="46" fontId="8" numFmtId="0" xfId="0">
      <alignment horizontal="center" vertical="center" wrapText="true"/>
    </xf>
    <xf applyAlignment="true" applyBorder="false" applyFill="true" applyFont="true" applyNumberFormat="false" applyProtection="false" borderId="104" fillId="47" fontId="8" numFmtId="0" xfId="0">
      <alignment horizontal="center" vertical="center" wrapText="true"/>
    </xf>
    <xf applyAlignment="true" applyBorder="false" applyFill="true" applyFont="true" applyNumberFormat="false" applyProtection="false" borderId="105" fillId="48" fontId="22" numFmtId="0" xfId="0">
      <alignment horizontal="center" vertical="center"/>
    </xf>
    <xf applyAlignment="true" applyBorder="false" applyFill="false" applyFont="true" applyNumberFormat="false" applyProtection="false" borderId="106" fillId="0" fontId="8" numFmtId="0" xfId="0">
      <alignment horizontal="center" vertical="center" wrapText="true"/>
    </xf>
    <xf applyAlignment="true" applyBorder="false" applyFill="false" applyFont="true" applyNumberFormat="false" applyProtection="false" borderId="107" fillId="0" fontId="8" numFmtId="0" xfId="0">
      <alignment horizontal="center" vertical="center"/>
    </xf>
    <xf applyAlignment="true" applyBorder="false" applyFill="false" applyFont="true" applyNumberFormat="false" applyProtection="false" borderId="108" fillId="0" fontId="8" numFmtId="0" xfId="0">
      <alignment horizontal="center" vertical="center"/>
    </xf>
    <xf applyAlignment="true" applyBorder="false" applyFill="false" applyFont="true" applyNumberFormat="false" applyProtection="false" borderId="109" fillId="0" fontId="6" numFmtId="0" xfId="0">
      <alignment horizontal="center" vertical="center"/>
    </xf>
    <xf applyAlignment="true" applyBorder="false" applyFill="true" applyFont="true" applyNumberFormat="false" applyProtection="false" borderId="110" fillId="49" fontId="8" numFmtId="0" xfId="0">
      <alignment horizontal="center" vertical="center"/>
    </xf>
    <xf applyAlignment="true" applyBorder="false" applyFill="true" applyFont="true" applyNumberFormat="false" applyProtection="false" borderId="111" fillId="50" fontId="8" numFmtId="0" xfId="0">
      <alignment horizontal="center" vertical="center" wrapText="true"/>
    </xf>
    <xf applyAlignment="true" applyBorder="false" applyFill="true" applyFont="true" applyNumberFormat="false" applyProtection="false" borderId="112" fillId="51" fontId="8" numFmtId="0" xfId="0">
      <alignment horizontal="center" vertical="center"/>
    </xf>
    <xf applyAlignment="true" applyBorder="false" applyFill="false" applyFont="true" applyNumberFormat="false" applyProtection="false" borderId="113" fillId="0" fontId="13" numFmtId="0" xfId="0">
      <alignment horizontal="center" vertical="center"/>
    </xf>
    <xf applyAlignment="true" applyBorder="false" applyFill="true" applyFont="true" applyNumberFormat="false" applyProtection="false" borderId="114" fillId="52" fontId="18" numFmtId="0" xfId="0">
      <alignment horizontal="center" vertical="center" wrapText="true"/>
    </xf>
    <xf applyAlignment="true" applyBorder="false" applyFill="true" applyFont="true" applyNumberFormat="false" applyProtection="false" borderId="115" fillId="53" fontId="18" numFmtId="0" xfId="0">
      <alignment horizontal="center" vertical="center" wrapText="true"/>
    </xf>
    <xf applyAlignment="true" applyBorder="false" applyFill="true" applyFont="true" applyNumberFormat="false" applyProtection="false" borderId="116" fillId="54" fontId="18" numFmtId="0" xfId="0">
      <alignment horizontal="center" vertical="center" wrapText="true"/>
    </xf>
    <xf applyAlignment="true" applyBorder="false" applyFill="true" applyFont="true" applyNumberFormat="false" applyProtection="false" borderId="117" fillId="55" fontId="16" numFmtId="0" xfId="0">
      <alignment horizontal="center" vertical="center" wrapText="true"/>
    </xf>
    <xf applyAlignment="true" applyBorder="false" applyFill="true" applyFont="true" applyNumberFormat="false" applyProtection="false" borderId="118" fillId="56" fontId="16" numFmtId="0" xfId="0">
      <alignment horizontal="center" vertical="center" wrapText="true"/>
    </xf>
    <xf applyAlignment="true" applyBorder="false" applyFill="true" applyFont="true" applyNumberFormat="false" applyProtection="false" borderId="119" fillId="57" fontId="16" numFmtId="0" xfId="0">
      <alignment horizontal="center" vertical="center" wrapText="true"/>
    </xf>
    <xf applyAlignment="true" applyBorder="false" applyFill="true" applyFont="true" applyNumberFormat="false" applyProtection="false" borderId="120" fillId="58" fontId="16" numFmtId="0" xfId="0">
      <alignment horizontal="center" vertical="center" wrapText="true"/>
    </xf>
    <xf applyAlignment="true" applyBorder="false" applyFill="false" applyFont="true" applyNumberFormat="false" applyProtection="false" borderId="121" fillId="0" fontId="13" numFmtId="0" xfId="0">
      <alignment horizontal="center" vertical="center" wrapText="true"/>
    </xf>
    <xf applyAlignment="true" applyBorder="false" applyFill="false" applyFont="true" applyNumberFormat="false" applyProtection="false" borderId="122" fillId="0" fontId="13" numFmtId="0" xfId="0">
      <alignment horizontal="center" vertical="center" wrapText="true"/>
    </xf>
    <xf applyAlignment="true" applyBorder="false" applyFill="true" applyFont="true" applyNumberFormat="false" applyProtection="false" borderId="123" fillId="59" fontId="22" numFmtId="0" xfId="0">
      <alignment horizontal="center" vertical="center"/>
    </xf>
    <xf applyAlignment="true" applyBorder="false" applyFill="true" applyFont="true" applyNumberFormat="false" applyProtection="false" borderId="124" fillId="60" fontId="8" numFmtId="0" xfId="0">
      <alignment horizontal="center" vertical="center"/>
    </xf>
    <xf applyAlignment="true" applyBorder="false" applyFill="true" applyFont="true" applyNumberFormat="false" applyProtection="false" borderId="125" fillId="61" fontId="8" numFmtId="0" xfId="0">
      <alignment horizontal="center" vertical="center"/>
    </xf>
    <xf applyAlignment="true" applyBorder="false" applyFill="true" applyFont="true" applyNumberFormat="false" applyProtection="false" borderId="126" fillId="62" fontId="8" numFmtId="0" xfId="0">
      <alignment horizontal="center" vertical="center" wrapText="true"/>
    </xf>
    <xf applyAlignment="true" applyBorder="false" applyFill="false" applyFont="true" applyNumberFormat="false" applyProtection="false" borderId="127" fillId="0" fontId="6" numFmtId="0" xfId="0">
      <alignment vertical="center"/>
    </xf>
    <xf applyAlignment="true" applyBorder="false" applyFill="false" applyFont="true" applyNumberFormat="false" applyProtection="false" borderId="128" fillId="0" fontId="6" numFmtId="0" xfId="0">
      <alignment vertical="center"/>
    </xf>
    <xf applyAlignment="true" applyBorder="false" applyFill="false" applyFont="true" applyNumberFormat="false" applyProtection="false" borderId="129" fillId="0" fontId="6" numFmtId="0" xfId="0">
      <alignment vertical="center"/>
    </xf>
    <xf applyAlignment="true" applyBorder="false" applyFill="true" applyFont="true" applyNumberFormat="false" applyProtection="false" borderId="130" fillId="63" fontId="8" numFmtId="0" xfId="0">
      <alignment horizontal="center" vertical="center"/>
    </xf>
    <xf applyAlignment="true" applyBorder="false" applyFill="true" applyFont="true" applyNumberFormat="false" applyProtection="false" borderId="131" fillId="64" fontId="8" numFmtId="0" xfId="0">
      <alignment horizontal="center" vertical="center"/>
    </xf>
    <xf applyAlignment="true" applyBorder="false" applyFill="true" applyFont="true" applyNumberFormat="false" applyProtection="false" borderId="132" fillId="65" fontId="8" numFmtId="0" xfId="0">
      <alignment horizontal="center" vertical="center"/>
    </xf>
    <xf applyAlignment="true" applyBorder="false" applyFill="true" applyFont="true" applyNumberFormat="false" applyProtection="false" borderId="133" fillId="66" fontId="8" numFmtId="0" xfId="0">
      <alignment horizontal="center" vertical="center"/>
    </xf>
    <xf applyAlignment="true" applyBorder="false" applyFill="false" applyFont="true" applyNumberFormat="true" applyProtection="false" borderId="134" fillId="0" fontId="23" numFmtId="197" xfId="0">
      <alignment horizontal="center" vertical="center" wrapText="true"/>
    </xf>
    <xf applyAlignment="true" applyBorder="false" applyFill="true" applyFont="true" applyNumberFormat="false" applyProtection="false" borderId="135" fillId="67" fontId="21" numFmtId="0" xfId="0">
      <alignment horizontal="center" vertical="center" wrapText="true"/>
    </xf>
    <xf applyAlignment="true" applyBorder="false" applyFill="true" applyFont="true" applyNumberFormat="false" applyProtection="false" borderId="136" fillId="68" fontId="16" numFmtId="0" xfId="0">
      <alignment horizontal="center" vertical="center" wrapText="true"/>
    </xf>
    <xf applyAlignment="true" applyBorder="false" applyFill="true" applyFont="true" applyNumberFormat="false" applyProtection="false" borderId="137" fillId="69" fontId="18" numFmtId="0" xfId="0">
      <alignment horizontal="center" vertical="center" wrapText="true"/>
    </xf>
    <xf applyAlignment="true" applyBorder="false" applyFill="false" applyFont="true" applyNumberFormat="false" applyProtection="false" borderId="138" fillId="0" fontId="6" numFmtId="0" xfId="0">
      <alignment horizontal="center" vertical="center" wrapText="true"/>
    </xf>
    <xf applyAlignment="true" applyBorder="false" applyFill="false" applyFont="true" applyNumberFormat="false" applyProtection="false" borderId="139" fillId="0" fontId="6" numFmtId="0" xfId="0">
      <alignment horizontal="center" vertical="center" wrapText="true"/>
    </xf>
    <xf applyAlignment="true" applyBorder="false" applyFill="false" applyFont="true" applyNumberFormat="false" applyProtection="false" borderId="140" fillId="0" fontId="6" numFmtId="0" xfId="0">
      <alignment horizontal="center" vertical="center" wrapText="true"/>
    </xf>
    <xf applyAlignment="true" applyBorder="false" applyFill="true" applyFont="true" applyNumberFormat="false" applyProtection="false" borderId="141" fillId="70" fontId="5" numFmtId="0" xfId="0">
      <alignment horizontal="center" vertical="center" wrapText="true"/>
    </xf>
    <xf applyAlignment="true" applyBorder="false" applyFill="true" applyFont="true" applyNumberFormat="false" applyProtection="false" borderId="142" fillId="71" fontId="5" numFmtId="0" xfId="0">
      <alignment horizontal="center" vertical="center" wrapText="true"/>
    </xf>
    <xf applyAlignment="true" applyBorder="false" applyFill="true" applyFont="true" applyNumberFormat="false" applyProtection="false" borderId="143" fillId="72" fontId="5" numFmtId="0" xfId="0">
      <alignment horizontal="center" vertical="center" wrapText="true"/>
    </xf>
    <xf applyAlignment="true" applyBorder="false" applyFill="true" applyFont="true" applyNumberFormat="false" applyProtection="false" borderId="144" fillId="73" fontId="5" numFmtId="0" xfId="0">
      <alignment horizontal="center" vertical="center" wrapText="true"/>
    </xf>
    <xf applyAlignment="true" applyBorder="false" applyFill="true" applyFont="true" applyNumberFormat="false" applyProtection="false" borderId="145" fillId="74" fontId="5" numFmtId="0" xfId="0">
      <alignment horizontal="center" vertical="center" wrapText="true"/>
    </xf>
    <xf applyAlignment="true" applyBorder="false" applyFill="true" applyFont="true" applyNumberFormat="false" applyProtection="false" borderId="146" fillId="75" fontId="5" numFmtId="0" xfId="0">
      <alignment horizontal="center" vertical="center" wrapText="true"/>
    </xf>
    <xf applyAlignment="true" applyBorder="false" applyFill="true" applyFont="true" applyNumberFormat="false" applyProtection="false" borderId="147" fillId="76" fontId="5" numFmtId="0" xfId="0">
      <alignment horizontal="center" vertical="center" wrapText="true"/>
    </xf>
    <xf applyAlignment="true" applyBorder="false" applyFill="true" applyFont="true" applyNumberFormat="false" applyProtection="false" borderId="148" fillId="77" fontId="5" numFmtId="0" xfId="0">
      <alignment horizontal="center" vertical="center" wrapText="true"/>
    </xf>
    <xf applyAlignment="true" applyBorder="false" applyFill="true" applyFont="true" applyNumberFormat="false" applyProtection="false" borderId="149" fillId="78" fontId="5" numFmtId="0" xfId="0">
      <alignment horizontal="center" vertical="center" wrapText="true"/>
    </xf>
    <xf applyAlignment="true" applyBorder="false" applyFill="false" applyFont="true" applyNumberFormat="false" applyProtection="false" borderId="150" fillId="0" fontId="8" numFmtId="0" xfId="0">
      <alignment horizontal="center" vertical="center"/>
    </xf>
    <xf applyAlignment="true" applyBorder="false" applyFill="false" applyFont="true" applyNumberFormat="false" applyProtection="false" borderId="151" fillId="0" fontId="21" numFmtId="0" xfId="0">
      <alignment vertical="top" wrapText="true"/>
    </xf>
    <xf applyAlignment="true" applyBorder="false" applyFill="true" applyFont="true" applyNumberFormat="false" applyProtection="false" borderId="152" fillId="79" fontId="8" numFmtId="0" xfId="0">
      <alignment horizontal="center" vertical="center" wrapText="true"/>
    </xf>
    <xf applyAlignment="true" applyBorder="false" applyFill="false" applyFont="true" applyNumberFormat="true" applyProtection="false" borderId="153" fillId="0" fontId="8" numFmtId="198" xfId="0">
      <alignment horizontal="center" vertical="center" wrapText="true"/>
    </xf>
    <xf applyAlignment="true" applyBorder="false" applyFill="true" applyFont="true" applyNumberFormat="false" applyProtection="false" borderId="154" fillId="80" fontId="8" numFmtId="0" xfId="0">
      <alignment horizontal="center" vertical="center" wrapText="true"/>
    </xf>
    <xf applyAlignment="true" applyBorder="false" applyFill="false" applyFont="true" applyNumberFormat="false" applyProtection="false" borderId="155" fillId="0" fontId="8" numFmtId="0" xfId="0">
      <alignment horizontal="center" vertical="center" wrapText="true"/>
    </xf>
    <xf applyAlignment="true" applyBorder="false" applyFill="false" applyFont="true" applyNumberFormat="false" applyProtection="false" borderId="156" fillId="0" fontId="18" numFmtId="0" xfId="0">
      <alignment horizontal="center" vertical="center"/>
    </xf>
    <xf applyAlignment="true" applyBorder="false" applyFill="true" applyFont="true" applyNumberFormat="false" applyProtection="false" borderId="157" fillId="81" fontId="16" numFmtId="0" xfId="0">
      <alignment vertical="center"/>
    </xf>
    <xf applyAlignment="true" applyBorder="false" applyFill="false" applyFont="true" applyNumberFormat="false" applyProtection="false" borderId="158" fillId="0" fontId="7" numFmtId="0" xfId="0">
      <alignment horizontal="center" vertical="center"/>
    </xf>
    <xf applyAlignment="true" applyBorder="false" applyFill="true" applyFont="true" applyNumberFormat="false" applyProtection="false" borderId="159" fillId="82" fontId="24" numFmtId="0" xfId="0">
      <alignment horizontal="center" vertical="center"/>
    </xf>
    <xf applyAlignment="true" applyBorder="false" applyFill="false" applyFont="true" applyNumberFormat="false" applyProtection="false" borderId="160" fillId="0" fontId="7" numFmtId="0" xfId="0">
      <alignment vertical="center"/>
    </xf>
    <xf applyAlignment="true" applyBorder="false" applyFill="false" applyFont="true" applyNumberFormat="false" applyProtection="false" borderId="161" fillId="0" fontId="7" numFmtId="0" xfId="0">
      <alignment vertical="center"/>
    </xf>
    <xf applyAlignment="true" applyBorder="false" applyFill="false" applyFont="true" applyNumberFormat="false" applyProtection="false" borderId="162" fillId="0" fontId="7" numFmtId="0" xfId="0">
      <alignment horizontal="center" vertical="center"/>
    </xf>
    <xf applyAlignment="true" applyBorder="false" applyFill="true" applyFont="true" applyNumberFormat="false" applyProtection="false" borderId="163" fillId="83" fontId="16" numFmtId="0" xfId="0">
      <alignment horizontal="center" vertical="center"/>
    </xf>
    <xf applyAlignment="true" applyBorder="false" applyFill="false" applyFont="true" applyNumberFormat="false" applyProtection="false" borderId="164" fillId="0" fontId="6" numFmtId="0" xfId="0">
      <alignment horizontal="center" vertical="center"/>
    </xf>
    <xf applyAlignment="true" applyBorder="false" applyFill="false" applyFont="true" applyNumberFormat="true" applyProtection="false" borderId="165" fillId="0" fontId="8" numFmtId="199" xfId="0">
      <alignment horizontal="center" vertical="center"/>
    </xf>
    <xf applyAlignment="true" applyBorder="false" applyFill="false" applyFont="true" applyNumberFormat="false" applyProtection="false" borderId="166" fillId="0" fontId="8" numFmtId="0" xfId="0">
      <alignment horizontal="center" vertical="center" wrapText="true"/>
    </xf>
    <xf applyAlignment="true" applyBorder="false" applyFill="true" applyFont="true" applyNumberFormat="false" applyProtection="false" borderId="167" fillId="84" fontId="25" numFmtId="0" xfId="0">
      <alignment horizontal="center" vertical="center"/>
    </xf>
    <xf applyAlignment="true" applyBorder="false" applyFill="true" applyFont="true" applyNumberFormat="false" applyProtection="false" borderId="168" fillId="85" fontId="25" numFmtId="0" xfId="0">
      <alignment horizontal="center" vertical="center"/>
    </xf>
    <xf applyAlignment="true" applyBorder="false" applyFill="true" applyFont="true" applyNumberFormat="false" applyProtection="false" borderId="169" fillId="86" fontId="25" numFmtId="0" xfId="0">
      <alignment horizontal="center" vertical="center"/>
    </xf>
    <xf applyAlignment="true" applyBorder="false" applyFill="true" applyFont="true" applyNumberFormat="false" applyProtection="false" borderId="170" fillId="87" fontId="16" numFmtId="0" xfId="0">
      <alignment horizontal="center" vertical="center"/>
    </xf>
    <xf applyAlignment="true" applyBorder="false" applyFill="true" applyFont="true" applyNumberFormat="false" applyProtection="false" borderId="171" fillId="88" fontId="16" numFmtId="0" xfId="0">
      <alignment vertical="center"/>
    </xf>
    <xf applyAlignment="true" applyBorder="false" applyFill="false" applyFont="true" applyNumberFormat="true" applyProtection="false" borderId="172" fillId="0" fontId="8" numFmtId="200" xfId="0">
      <alignment horizontal="center" vertical="center"/>
    </xf>
    <xf applyAlignment="true" applyBorder="false" applyFill="false" applyFont="true" applyNumberFormat="false" applyProtection="false" borderId="173" fillId="0" fontId="21" numFmtId="0" xfId="0">
      <alignment vertical="center"/>
    </xf>
    <xf applyAlignment="true" applyBorder="false" applyFill="true" applyFont="true" applyNumberFormat="false" applyProtection="false" borderId="174" fillId="89" fontId="21" numFmtId="0" xfId="0">
      <alignment vertical="center"/>
    </xf>
    <xf applyAlignment="true" applyBorder="false" applyFill="true" applyFont="true" applyNumberFormat="false" applyProtection="false" borderId="175" fillId="90" fontId="21" numFmtId="0" xfId="0">
      <alignment horizontal="center" vertical="center"/>
    </xf>
    <xf applyAlignment="true" applyBorder="false" applyFill="true" applyFont="true" applyNumberFormat="false" applyProtection="false" borderId="176" fillId="91" fontId="21" numFmtId="0" xfId="0">
      <alignment horizontal="center" vertical="center"/>
    </xf>
    <xf applyAlignment="true" applyBorder="false" applyFill="true" applyFont="true" applyNumberFormat="false" applyProtection="false" borderId="177" fillId="92" fontId="21" numFmtId="0" xfId="0">
      <alignment horizontal="center" vertical="center"/>
    </xf>
    <xf applyAlignment="true" applyBorder="false" applyFill="true" applyFont="true" applyNumberFormat="false" applyProtection="false" borderId="178" fillId="93" fontId="14" numFmtId="0" xfId="0">
      <alignment horizontal="center" vertical="center" wrapText="true"/>
    </xf>
    <xf applyAlignment="true" applyBorder="false" applyFill="true" applyFont="true" applyNumberFormat="false" applyProtection="false" borderId="179" fillId="94" fontId="14" numFmtId="0" xfId="0">
      <alignment horizontal="center" vertical="center"/>
    </xf>
    <xf applyAlignment="true" applyBorder="false" applyFill="true" applyFont="true" applyNumberFormat="false" applyProtection="false" borderId="180" fillId="95" fontId="7" numFmtId="0" xfId="0">
      <alignment horizontal="center" vertical="center"/>
    </xf>
    <xf applyAlignment="true" applyBorder="false" applyFill="false" applyFont="true" applyNumberFormat="false" applyProtection="false" borderId="181" fillId="0" fontId="26" numFmtId="0" xfId="0">
      <alignment horizontal="center" vertical="center"/>
    </xf>
    <xf applyAlignment="true" applyBorder="false" applyFill="false" applyFont="true" applyNumberFormat="false" applyProtection="false" borderId="182" fillId="0" fontId="14" numFmtId="0" xfId="0">
      <alignment horizontal="center" vertical="center" wrapText="true"/>
    </xf>
    <xf applyAlignment="true" applyBorder="false" applyFill="false" applyFont="true" applyNumberFormat="false" applyProtection="false" borderId="183" fillId="0" fontId="14" numFmtId="0" xfId="0">
      <alignment horizontal="center" vertical="center"/>
    </xf>
    <xf applyAlignment="true" applyBorder="false" applyFill="false" applyFont="true" applyNumberFormat="false" applyProtection="false" borderId="184" fillId="0" fontId="14" numFmtId="0" xfId="0">
      <alignment horizontal="center" vertical="center" wrapText="true"/>
    </xf>
    <xf applyAlignment="true" applyBorder="false" applyFill="false" applyFont="true" applyNumberFormat="false" applyProtection="false" borderId="185" fillId="0" fontId="14" numFmtId="0" xfId="0">
      <alignment horizontal="center" vertical="center" wrapText="true"/>
    </xf>
    <xf applyAlignment="true" applyBorder="false" applyFill="false" applyFont="true" applyNumberFormat="false" applyProtection="false" borderId="186" fillId="0" fontId="14" numFmtId="0" xfId="0">
      <alignment horizontal="center" vertical="center"/>
    </xf>
    <xf applyAlignment="true" applyBorder="false" applyFill="true" applyFont="true" applyNumberFormat="false" applyProtection="false" borderId="187" fillId="96" fontId="8" numFmtId="0" xfId="0">
      <alignment horizontal="center" vertical="center"/>
    </xf>
    <xf applyAlignment="true" applyBorder="false" applyFill="true" applyFont="true" applyNumberFormat="false" applyProtection="false" borderId="188" fillId="97" fontId="8" numFmtId="0" xfId="0">
      <alignment horizontal="center" vertical="center" wrapText="true"/>
    </xf>
    <xf applyAlignment="true" applyBorder="false" applyFill="false" applyFont="true" applyNumberFormat="false" applyProtection="false" borderId="189" fillId="0" fontId="27" numFmtId="0" xfId="0">
      <alignment horizontal="left" vertical="center" wrapText="true"/>
    </xf>
    <xf applyAlignment="true" applyBorder="false" applyFill="false" applyFont="true" applyNumberFormat="false" applyProtection="false" borderId="190" fillId="0" fontId="27" numFmtId="0" xfId="0">
      <alignment horizontal="left" vertical="center" wrapText="true"/>
    </xf>
    <xf applyAlignment="true" applyBorder="false" applyFill="false" applyFont="true" applyNumberFormat="false" applyProtection="false" borderId="191" fillId="0" fontId="24" numFmtId="0" xfId="0">
      <alignment horizontal="center" vertical="center"/>
    </xf>
    <xf applyAlignment="true" applyBorder="false" applyFill="true" applyFont="true" applyNumberFormat="false" applyProtection="false" borderId="192" fillId="98" fontId="22" numFmtId="0" xfId="0">
      <alignment horizontal="center" vertical="center"/>
    </xf>
    <xf applyAlignment="true" applyBorder="false" applyFill="true" applyFont="true" applyNumberFormat="false" applyProtection="false" borderId="193" fillId="99" fontId="26" numFmtId="0" xfId="0">
      <alignment horizontal="center" vertical="center"/>
    </xf>
    <xf applyAlignment="true" applyBorder="false" applyFill="false" applyFont="true" applyNumberFormat="false" applyProtection="false" borderId="194" fillId="0" fontId="6" numFmtId="0" xfId="0">
      <alignment horizontal="center" vertical="center" wrapText="true"/>
    </xf>
    <xf applyAlignment="true" applyBorder="false" applyFill="false" applyFont="true" applyNumberFormat="false" applyProtection="false" borderId="195" fillId="0" fontId="6" numFmtId="0" xfId="0">
      <alignment horizontal="center" vertical="center" wrapText="true"/>
    </xf>
    <xf applyAlignment="true" applyBorder="false" applyFill="false" applyFont="true" applyNumberFormat="false" applyProtection="false" borderId="196" fillId="0" fontId="6" numFmtId="0" xfId="0">
      <alignment horizontal="center" vertical="center"/>
    </xf>
    <xf applyAlignment="true" applyBorder="false" applyFill="true" applyFont="true" applyNumberFormat="false" applyProtection="false" borderId="197" fillId="100" fontId="13" numFmtId="0" xfId="0">
      <alignment horizontal="left" vertical="center" wrapText="true"/>
    </xf>
    <xf applyAlignment="true" applyBorder="false" applyFill="true" applyFont="true" applyNumberFormat="false" applyProtection="false" borderId="198" fillId="101" fontId="13" numFmtId="0" xfId="0">
      <alignment horizontal="left" vertical="center" wrapText="true"/>
    </xf>
    <xf applyAlignment="true" applyBorder="false" applyFill="true" applyFont="true" applyNumberFormat="false" applyProtection="false" borderId="199" fillId="102" fontId="13" numFmtId="0" xfId="0">
      <alignment horizontal="left" vertical="center" wrapText="true"/>
    </xf>
    <xf applyAlignment="true" applyBorder="false" applyFill="true" applyFont="true" applyNumberFormat="false" applyProtection="false" borderId="200" fillId="103" fontId="25" numFmtId="0" xfId="0">
      <alignment horizontal="center" vertical="center" wrapText="true"/>
    </xf>
    <xf applyAlignment="true" applyBorder="false" applyFill="true" applyFont="true" applyNumberFormat="false" applyProtection="false" borderId="201" fillId="104" fontId="25" numFmtId="0" xfId="0">
      <alignment horizontal="center" vertical="center" wrapText="true"/>
    </xf>
    <xf applyAlignment="true" applyBorder="false" applyFill="false" applyFont="true" applyNumberFormat="true" applyProtection="false" borderId="202" fillId="0" fontId="8" numFmtId="201" xfId="0">
      <alignment horizontal="center" vertical="center"/>
    </xf>
    <xf applyAlignment="true" applyBorder="false" applyFill="false" applyFont="true" applyNumberFormat="true" applyProtection="false" borderId="203" fillId="0" fontId="8" numFmtId="202" xfId="0">
      <alignment horizontal="center" vertical="center"/>
    </xf>
    <xf applyAlignment="true" applyBorder="false" applyFill="false" applyFont="true" applyNumberFormat="true" applyProtection="false" borderId="204" fillId="0" fontId="8" numFmtId="203" xfId="0">
      <alignment horizontal="center" vertical="center"/>
    </xf>
    <xf applyAlignment="true" applyBorder="false" applyFill="false" applyFont="true" applyNumberFormat="true" applyProtection="false" borderId="205" fillId="0" fontId="8" numFmtId="204" xfId="0">
      <alignment horizontal="center" vertical="center"/>
    </xf>
    <xf applyAlignment="true" applyBorder="false" applyFill="false" applyFont="true" applyNumberFormat="false" applyProtection="false" borderId="206" fillId="0" fontId="24" numFmtId="0" xfId="0">
      <alignment horizontal="center" vertical="center"/>
    </xf>
    <xf applyAlignment="true" applyBorder="false" applyFill="true" applyFont="true" applyNumberFormat="false" applyProtection="false" borderId="207" fillId="105" fontId="28" numFmtId="0" xfId="0">
      <alignment horizontal="center" vertical="center" wrapText="true"/>
    </xf>
    <xf applyAlignment="true" applyBorder="false" applyFill="true" applyFont="true" applyNumberFormat="false" applyProtection="false" borderId="208" fillId="106" fontId="28" numFmtId="0" xfId="0">
      <alignment horizontal="center" vertical="center" wrapText="true"/>
    </xf>
    <xf applyAlignment="true" applyBorder="false" applyFill="true" applyFont="true" applyNumberFormat="false" applyProtection="false" borderId="209" fillId="107" fontId="28" numFmtId="0" xfId="0">
      <alignment horizontal="center" vertical="center" wrapText="true"/>
    </xf>
    <xf applyAlignment="true" applyBorder="false" applyFill="true" applyFont="true" applyNumberFormat="false" applyProtection="false" borderId="210" fillId="108" fontId="28" numFmtId="0" xfId="0">
      <alignment horizontal="center" vertical="center" wrapText="true"/>
    </xf>
    <xf applyAlignment="true" applyBorder="false" applyFill="true" applyFont="true" applyNumberFormat="false" applyProtection="false" borderId="211" fillId="109" fontId="13" numFmtId="0" xfId="0">
      <alignment horizontal="center" vertical="center" wrapText="true"/>
    </xf>
    <xf applyAlignment="true" applyBorder="false" applyFill="true" applyFont="true" applyNumberFormat="false" applyProtection="false" borderId="212" fillId="110" fontId="13" numFmtId="0" xfId="0">
      <alignment horizontal="center" vertical="center"/>
    </xf>
    <xf applyAlignment="true" applyBorder="false" applyFill="true" applyFont="true" applyNumberFormat="true" applyProtection="false" borderId="213" fillId="111" fontId="13" numFmtId="205" xfId="0">
      <alignment horizontal="center" vertical="center" wrapText="true"/>
    </xf>
    <xf applyAlignment="true" applyBorder="false" applyFill="true" applyFont="true" applyNumberFormat="false" applyProtection="false" borderId="214" fillId="112" fontId="22" numFmtId="0" xfId="0">
      <alignment horizontal="center" vertical="center" wrapText="true"/>
    </xf>
    <xf applyAlignment="true" applyBorder="false" applyFill="false" applyFont="true" applyNumberFormat="true" applyProtection="false" borderId="215" fillId="0" fontId="13" numFmtId="206" xfId="0">
      <alignment horizontal="center" vertical="center"/>
    </xf>
    <xf applyAlignment="true" applyBorder="false" applyFill="false" applyFont="true" applyNumberFormat="true" applyProtection="false" borderId="216" fillId="0" fontId="6" numFmtId="207" xfId="0">
      <alignment vertical="center" wrapText="true"/>
    </xf>
    <xf applyAlignment="true" applyBorder="false" applyFill="true" applyFont="true" applyNumberFormat="false" applyProtection="false" borderId="217" fillId="113" fontId="13" numFmtId="0" xfId="0">
      <alignment horizontal="left" vertical="center" wrapText="true"/>
    </xf>
    <xf applyAlignment="true" applyBorder="false" applyFill="true" applyFont="true" applyNumberFormat="false" applyProtection="false" borderId="218" fillId="114" fontId="16" numFmtId="0" xfId="0">
      <alignment horizontal="center" vertical="center"/>
    </xf>
    <xf applyAlignment="true" applyBorder="false" applyFill="true" applyFont="true" applyNumberFormat="false" applyProtection="false" borderId="219" fillId="115" fontId="16" numFmtId="0" xfId="0">
      <alignment horizontal="center" vertical="center"/>
    </xf>
    <xf applyAlignment="true" applyBorder="false" applyFill="true" applyFont="true" applyNumberFormat="false" applyProtection="false" borderId="220" fillId="116" fontId="16" numFmtId="0" xfId="0">
      <alignment horizontal="center" vertical="center"/>
    </xf>
    <xf applyAlignment="true" applyBorder="false" applyFill="true" applyFont="true" applyNumberFormat="false" applyProtection="false" borderId="221" fillId="117" fontId="29" numFmtId="0" xfId="0">
      <alignment horizontal="center" vertical="center"/>
    </xf>
    <xf applyAlignment="true" applyBorder="false" applyFill="true" applyFont="true" applyNumberFormat="false" applyProtection="false" borderId="222" fillId="118" fontId="13" numFmtId="0" xfId="0">
      <alignment horizontal="center" vertical="center"/>
    </xf>
    <xf applyAlignment="true" applyBorder="false" applyFill="true" applyFont="true" applyNumberFormat="true" applyProtection="false" borderId="223" fillId="119" fontId="13" numFmtId="208" xfId="0">
      <alignment horizontal="center" vertical="center"/>
    </xf>
    <xf applyAlignment="true" applyBorder="false" applyFill="false" applyFont="true" applyNumberFormat="false" applyProtection="false" borderId="224" fillId="0" fontId="8" numFmtId="0" xfId="0">
      <alignment horizontal="center" vertical="center"/>
    </xf>
    <xf applyAlignment="true" applyBorder="false" applyFill="true" applyFont="true" applyNumberFormat="false" applyProtection="false" borderId="225" fillId="120" fontId="18" numFmtId="0" xfId="0">
      <alignment horizontal="center" vertical="center"/>
    </xf>
    <xf applyAlignment="true" applyBorder="false" applyFill="true" applyFont="true" applyNumberFormat="false" applyProtection="false" borderId="226" fillId="121" fontId="29" numFmtId="0" xfId="0">
      <alignment horizontal="center" vertical="center"/>
    </xf>
    <xf applyAlignment="true" applyBorder="false" applyFill="false" applyFont="true" applyNumberFormat="true" applyProtection="false" borderId="227" fillId="0" fontId="19" numFmtId="209" xfId="0">
      <alignment horizontal="center" vertical="center"/>
    </xf>
    <xf applyAlignment="true" applyBorder="false" applyFill="true" applyFont="true" applyNumberFormat="false" applyProtection="false" borderId="228" fillId="122" fontId="21" numFmtId="0" xfId="0">
      <alignment horizontal="center" vertical="center"/>
    </xf>
    <xf applyAlignment="true" applyBorder="false" applyFill="true" applyFont="true" applyNumberFormat="true" applyProtection="false" borderId="229" fillId="123" fontId="19" numFmtId="210" xfId="0">
      <alignment horizontal="center" vertical="center"/>
    </xf>
    <xf applyAlignment="true" applyBorder="false" applyFill="false" applyFont="true" applyNumberFormat="true" applyProtection="false" borderId="230" fillId="0" fontId="6" numFmtId="211" xfId="0">
      <alignment vertical="center"/>
    </xf>
    <xf applyAlignment="true" applyBorder="false" applyFill="false" applyFont="true" applyNumberFormat="false" applyProtection="false" borderId="231" fillId="0" fontId="14" numFmtId="0" xfId="0">
      <alignment horizontal="center" vertical="center"/>
    </xf>
    <xf applyAlignment="true" applyBorder="false" applyFill="true" applyFont="true" applyNumberFormat="false" applyProtection="false" borderId="232" fillId="124" fontId="22" numFmtId="0" xfId="0">
      <alignment horizontal="center" vertical="center" wrapText="true"/>
    </xf>
    <xf applyAlignment="true" applyBorder="false" applyFill="false" applyFont="true" applyNumberFormat="false" applyProtection="false" borderId="233" fillId="0" fontId="27" numFmtId="0" xfId="0">
      <alignment horizontal="left" vertical="center"/>
    </xf>
    <xf applyAlignment="true" applyBorder="false" applyFill="true" applyFont="true" applyNumberFormat="true" applyProtection="false" borderId="234" fillId="125" fontId="13" numFmtId="212" xfId="0">
      <alignment horizontal="center" vertical="center"/>
    </xf>
    <xf applyAlignment="true" applyBorder="false" applyFill="true" applyFont="true" applyNumberFormat="false" applyProtection="false" borderId="235" fillId="126" fontId="22" numFmtId="0" xfId="0">
      <alignment horizontal="center" vertical="center" wrapText="true"/>
    </xf>
    <xf applyAlignment="true" applyBorder="false" applyFill="true" applyFont="true" applyNumberFormat="true" applyProtection="false" borderId="236" fillId="127" fontId="13" numFmtId="213" xfId="0">
      <alignment horizontal="center" vertical="center"/>
    </xf>
    <xf applyAlignment="true" applyBorder="false" applyFill="true" applyFont="true" applyNumberFormat="false" applyProtection="false" borderId="237" fillId="128" fontId="8" numFmtId="0" xfId="0">
      <alignment horizontal="center" vertical="center" wrapText="true"/>
    </xf>
    <xf applyAlignment="true" applyBorder="false" applyFill="true" applyFont="true" applyNumberFormat="false" applyProtection="false" borderId="238" fillId="129" fontId="13" numFmtId="0" xfId="0">
      <alignment horizontal="center" vertical="center"/>
    </xf>
    <xf applyAlignment="true" applyBorder="false" applyFill="true" applyFont="true" applyNumberFormat="false" applyProtection="false" borderId="239" fillId="130" fontId="8" numFmtId="0" xfId="0">
      <alignment horizontal="center" vertical="center"/>
    </xf>
    <xf applyAlignment="true" applyBorder="false" applyFill="false" applyFont="true" applyNumberFormat="false" applyProtection="false" borderId="240" fillId="0" fontId="14" numFmtId="0" xfId="0">
      <alignment horizontal="center" vertical="center"/>
    </xf>
    <xf applyAlignment="true" applyBorder="false" applyFill="false" applyFont="true" applyNumberFormat="false" applyProtection="false" borderId="241" fillId="0" fontId="6" numFmtId="0" xfId="0">
      <alignment horizontal="center" vertical="center"/>
    </xf>
    <xf applyAlignment="true" applyBorder="false" applyFill="true" applyFont="true" applyNumberFormat="false" applyProtection="false" borderId="242" fillId="131" fontId="22" numFmtId="0" xfId="0">
      <alignment horizontal="center" vertical="center" wrapText="true"/>
    </xf>
    <xf applyAlignment="true" applyBorder="false" applyFill="false" applyFont="true" applyNumberFormat="false" applyProtection="false" borderId="243" fillId="0" fontId="13" numFmtId="0" xfId="0">
      <alignment horizontal="center" vertical="center"/>
    </xf>
    <xf applyAlignment="true" applyBorder="false" applyFill="false" applyFont="true" applyNumberFormat="true" applyProtection="false" borderId="244" fillId="0" fontId="13" numFmtId="214" xfId="0">
      <alignment horizontal="center" vertical="center"/>
    </xf>
    <xf applyAlignment="true" applyBorder="false" applyFill="false" applyFont="true" applyNumberFormat="false" applyProtection="false" borderId="245" fillId="0" fontId="8" numFmtId="0" xfId="0">
      <alignment horizontal="center" vertical="center" wrapText="true"/>
    </xf>
    <xf applyAlignment="true" applyBorder="false" applyFill="false" applyFont="true" applyNumberFormat="false" applyProtection="false" borderId="246" fillId="0" fontId="24" numFmtId="0" xfId="0">
      <alignment horizontal="center" vertical="center"/>
    </xf>
    <xf applyAlignment="true" applyBorder="false" applyFill="false" applyFont="true" applyNumberFormat="false" applyProtection="false" borderId="247" fillId="0" fontId="24" numFmtId="0" xfId="0">
      <alignment horizontal="center" vertical="center"/>
    </xf>
    <xf applyAlignment="true" applyBorder="false" applyFill="false" applyFont="true" applyNumberFormat="false" applyProtection="false" borderId="248" fillId="0" fontId="24" numFmtId="0" xfId="0">
      <alignment horizontal="center" vertical="center"/>
    </xf>
    <xf applyAlignment="true" applyBorder="false" applyFill="true" applyFont="true" applyNumberFormat="false" applyProtection="false" borderId="249" fillId="132" fontId="16" numFmtId="0" xfId="0">
      <alignment vertical="center"/>
    </xf>
    <xf applyAlignment="true" applyBorder="false" applyFill="true" applyFont="true" applyNumberFormat="false" applyProtection="false" borderId="250" fillId="133" fontId="16" numFmtId="0" xfId="0">
      <alignment horizontal="center" vertical="center"/>
    </xf>
    <xf applyAlignment="true" applyBorder="false" applyFill="true" applyFont="true" applyNumberFormat="false" applyProtection="false" borderId="251" fillId="134" fontId="16" numFmtId="0" xfId="0">
      <alignment vertical="center"/>
    </xf>
    <xf applyAlignment="true" applyBorder="false" applyFill="true" applyFont="true" applyNumberFormat="false" applyProtection="false" borderId="252" fillId="135" fontId="30" numFmtId="0" xfId="0">
      <alignment horizontal="center" vertical="center" wrapText="true"/>
    </xf>
    <xf applyAlignment="true" applyBorder="false" applyFill="true" applyFont="true" applyNumberFormat="false" applyProtection="false" borderId="253" fillId="136" fontId="4" numFmtId="0" xfId="0">
      <alignment horizontal="center" vertical="center" wrapText="true"/>
    </xf>
    <xf applyAlignment="true" applyBorder="false" applyFill="true" applyFont="true" applyNumberFormat="false" applyProtection="false" borderId="254" fillId="137" fontId="4" numFmtId="0" xfId="0">
      <alignment horizontal="center" vertical="center" wrapText="true"/>
    </xf>
    <xf applyAlignment="true" applyBorder="false" applyFill="true" applyFont="true" applyNumberFormat="false" applyProtection="false" borderId="255" fillId="138" fontId="16" numFmtId="0" xfId="0">
      <alignment horizontal="center" vertical="center" wrapText="true"/>
    </xf>
    <xf applyAlignment="true" applyBorder="false" applyFill="true" applyFont="true" applyNumberFormat="false" applyProtection="false" borderId="256" fillId="139" fontId="16" numFmtId="0" xfId="0">
      <alignment horizontal="center" vertical="center" wrapText="true"/>
    </xf>
    <xf applyAlignment="true" applyBorder="false" applyFill="true" applyFont="true" applyNumberFormat="false" applyProtection="false" borderId="257" fillId="140" fontId="16" numFmtId="0" xfId="0">
      <alignment horizontal="center" vertical="center" wrapText="true"/>
    </xf>
    <xf applyAlignment="true" applyBorder="false" applyFill="false" applyFont="true" applyNumberFormat="false" applyProtection="false" borderId="258" fillId="0" fontId="8" numFmtId="0" xfId="0">
      <alignment horizontal="center" vertical="center"/>
    </xf>
    <xf applyAlignment="true" applyBorder="false" applyFill="false" applyFont="true" applyNumberFormat="false" applyProtection="false" borderId="259" fillId="0" fontId="8" numFmtId="0" xfId="0">
      <alignment horizontal="center" vertical="center"/>
    </xf>
    <xf applyAlignment="true" applyBorder="false" applyFill="false" applyFont="true" applyNumberFormat="false" applyProtection="false" borderId="260" fillId="0" fontId="8" numFmtId="0" xfId="0">
      <alignment horizontal="center" vertical="center"/>
    </xf>
    <xf applyAlignment="true" applyBorder="false" applyFill="false" applyFont="true" applyNumberFormat="false" applyProtection="false" borderId="261" fillId="0" fontId="14" numFmtId="0" xfId="0">
      <alignment horizontal="center" vertical="center" wrapText="true"/>
    </xf>
    <xf applyAlignment="true" applyBorder="false" applyFill="false" applyFont="true" applyNumberFormat="false" applyProtection="false" borderId="262" fillId="0" fontId="14" numFmtId="0" xfId="0">
      <alignment horizontal="center" vertical="center"/>
    </xf>
    <xf applyAlignment="true" applyBorder="false" applyFill="false" applyFont="true" applyNumberFormat="false" applyProtection="false" borderId="263" fillId="0" fontId="14" numFmtId="0" xfId="0">
      <alignment horizontal="center" vertical="center" wrapText="true"/>
    </xf>
    <xf applyAlignment="true" applyBorder="false" applyFill="false" applyFont="true" applyNumberFormat="false" applyProtection="false" borderId="264" fillId="0" fontId="14" numFmtId="0" xfId="0">
      <alignment horizontal="center" vertical="center"/>
    </xf>
    <xf applyAlignment="true" applyBorder="false" applyFill="false" applyFont="true" applyNumberFormat="false" applyProtection="false" borderId="265" fillId="0" fontId="8" numFmtId="0" xfId="0">
      <alignment horizontal="center" vertical="center" wrapText="true"/>
    </xf>
    <xf applyAlignment="true" applyBorder="false" applyFill="false" applyFont="true" applyNumberFormat="false" applyProtection="false" borderId="266" fillId="0" fontId="8" numFmtId="0" xfId="0">
      <alignment horizontal="center" vertical="center" wrapText="true"/>
    </xf>
    <xf applyAlignment="true" applyBorder="false" applyFill="true" applyFont="true" applyNumberFormat="false" applyProtection="false" borderId="267" fillId="141" fontId="30" numFmtId="0" xfId="0">
      <alignment horizontal="center" vertical="center" wrapText="true"/>
    </xf>
    <xf applyAlignment="true" applyBorder="false" applyFill="false" applyFont="true" applyNumberFormat="false" applyProtection="false" borderId="268" fillId="0" fontId="16" numFmtId="0" xfId="0">
      <alignment vertical="center"/>
    </xf>
    <xf applyAlignment="true" applyBorder="false" applyFill="false" applyFont="true" applyNumberFormat="true" applyProtection="false" borderId="269" fillId="0" fontId="6" numFmtId="215" xfId="0">
      <alignment vertical="center"/>
    </xf>
    <xf applyAlignment="true" applyBorder="false" applyFill="true" applyFont="true" applyNumberFormat="false" applyProtection="false" borderId="270" fillId="142" fontId="31" numFmtId="0" xfId="0">
      <alignment horizontal="center" vertical="center" wrapText="true"/>
    </xf>
    <xf applyAlignment="true" applyBorder="false" applyFill="true" applyFont="true" applyNumberFormat="true" applyProtection="false" borderId="271" fillId="143" fontId="31" numFmtId="216" xfId="0">
      <alignment horizontal="center" vertical="center" wrapText="true"/>
    </xf>
    <xf applyAlignment="true" applyBorder="false" applyFill="true" applyFont="true" applyNumberFormat="true" applyProtection="false" borderId="272" fillId="144" fontId="31" numFmtId="217" xfId="0">
      <alignment horizontal="center" vertical="center" wrapText="true"/>
    </xf>
    <xf applyAlignment="true" applyBorder="false" applyFill="true" applyFont="true" applyNumberFormat="true" applyProtection="false" borderId="273" fillId="145" fontId="31" numFmtId="218" xfId="0">
      <alignment horizontal="center" vertical="center" wrapText="true"/>
    </xf>
    <xf applyAlignment="true" applyBorder="false" applyFill="false" applyFont="true" applyNumberFormat="true" applyProtection="false" borderId="274" fillId="0" fontId="6" numFmtId="219" xfId="0">
      <alignment vertical="center"/>
    </xf>
    <xf applyAlignment="true" applyBorder="false" applyFill="false" applyFont="true" applyNumberFormat="false" applyProtection="false" borderId="275" fillId="0" fontId="8" numFmtId="0" xfId="0">
      <alignment horizontal="center" vertical="center" wrapText="true"/>
    </xf>
    <xf applyAlignment="true" applyBorder="false" applyFill="true" applyFont="true" applyNumberFormat="false" applyProtection="false" borderId="276" fillId="146" fontId="29" numFmtId="0" xfId="0">
      <alignment horizontal="center" vertical="center"/>
    </xf>
    <xf applyAlignment="true" applyBorder="false" applyFill="false" applyFont="true" applyNumberFormat="false" applyProtection="false" borderId="277" fillId="0" fontId="14" numFmtId="0" xfId="0">
      <alignment horizontal="center" vertical="center"/>
    </xf>
    <xf applyAlignment="true" applyBorder="false" applyFill="false" applyFont="true" applyNumberFormat="false" applyProtection="false" borderId="278" fillId="0" fontId="14" numFmtId="0" xfId="0">
      <alignment horizontal="center" vertical="center" wrapText="true"/>
    </xf>
    <xf applyAlignment="true" applyBorder="false" applyFill="true" applyFont="true" applyNumberFormat="false" applyProtection="false" borderId="279" fillId="147" fontId="32" numFmtId="0" xfId="0">
      <alignment horizontal="center" vertical="center" wrapText="true"/>
    </xf>
    <xf applyAlignment="true" applyBorder="false" applyFill="true" applyFont="true" applyNumberFormat="false" applyProtection="false" borderId="280" fillId="148" fontId="32" numFmtId="0" xfId="0">
      <alignment horizontal="center" vertical="center"/>
    </xf>
    <xf applyAlignment="true" applyBorder="false" applyFill="true" applyFont="true" applyNumberFormat="false" applyProtection="false" borderId="281" fillId="149" fontId="29" numFmtId="0" xfId="0">
      <alignment horizontal="center" vertical="center" wrapText="true"/>
    </xf>
    <xf applyAlignment="true" applyBorder="false" applyFill="false" applyFont="true" applyNumberFormat="false" applyProtection="false" borderId="282" fillId="0" fontId="33" numFmtId="0" xfId="0">
      <alignment horizontal="center" vertical="center" wrapText="true"/>
    </xf>
    <xf applyAlignment="true" applyBorder="false" applyFill="true" applyFont="true" applyNumberFormat="false" applyProtection="false" borderId="283" fillId="150" fontId="13" numFmtId="0" xfId="0">
      <alignment horizontal="center" vertical="center"/>
    </xf>
    <xf applyAlignment="true" applyBorder="false" applyFill="false" applyFont="true" applyNumberFormat="true" applyProtection="false" borderId="284" fillId="0" fontId="13" numFmtId="220" xfId="0">
      <alignment horizontal="center" vertical="center"/>
    </xf>
    <xf applyAlignment="true" applyBorder="false" applyFill="false" applyFont="true" applyNumberFormat="false" applyProtection="false" borderId="285" fillId="0" fontId="8" numFmtId="0" xfId="0">
      <alignment horizontal="center" vertical="center" wrapText="true"/>
    </xf>
    <xf applyAlignment="true" applyBorder="false" applyFill="false" applyFont="true" applyNumberFormat="true" applyProtection="false" borderId="286" fillId="0" fontId="34" numFmtId="221" xfId="0">
      <alignment horizontal="center" vertical="center" wrapText="true"/>
    </xf>
    <xf applyAlignment="true" applyBorder="false" applyFill="false" applyFont="true" applyNumberFormat="false" applyProtection="false" borderId="287" fillId="0" fontId="14" numFmtId="0" xfId="0">
      <alignment horizontal="center" vertical="center" wrapText="true"/>
    </xf>
    <xf applyAlignment="true" applyBorder="false" applyFill="true" applyFont="true" applyNumberFormat="false" applyProtection="false" borderId="288" fillId="151" fontId="22" numFmtId="0" xfId="0">
      <alignment horizontal="center" vertical="center"/>
    </xf>
    <xf applyAlignment="true" applyBorder="false" applyFill="true" applyFont="true" applyNumberFormat="false" applyProtection="false" borderId="289" fillId="152" fontId="22" numFmtId="0" xfId="0">
      <alignment horizontal="center" vertical="center" wrapText="true"/>
    </xf>
    <xf applyAlignment="true" applyBorder="false" applyFill="true" applyFont="true" applyNumberFormat="false" applyProtection="false" borderId="290" fillId="153" fontId="22" numFmtId="0" xfId="0">
      <alignment horizontal="center" vertical="center"/>
    </xf>
    <xf applyAlignment="true" applyBorder="false" applyFill="true" applyFont="true" applyNumberFormat="false" applyProtection="false" borderId="291" fillId="154" fontId="22" numFmtId="0" xfId="0">
      <alignment horizontal="center" vertical="center" wrapText="true"/>
    </xf>
    <xf applyAlignment="true" applyBorder="false" applyFill="true" applyFont="true" applyNumberFormat="false" applyProtection="false" borderId="292" fillId="155" fontId="35" numFmtId="0" xfId="0">
      <alignment horizontal="center" vertical="center"/>
    </xf>
    <xf applyAlignment="true" applyBorder="false" applyFill="false" applyFont="true" applyNumberFormat="false" applyProtection="false" borderId="293" fillId="0" fontId="22" numFmtId="0" xfId="0">
      <alignment horizontal="center" vertical="center" wrapText="true"/>
    </xf>
    <xf applyAlignment="true" applyBorder="false" applyFill="true" applyFont="true" applyNumberFormat="false" applyProtection="false" borderId="294" fillId="156" fontId="22" numFmtId="0" xfId="0">
      <alignment horizontal="center" vertical="center" wrapText="true"/>
    </xf>
    <xf applyAlignment="true" applyBorder="false" applyFill="false" applyFont="true" applyNumberFormat="false" applyProtection="false" borderId="295" fillId="0" fontId="22" numFmtId="0" xfId="0">
      <alignment horizontal="center" vertical="center"/>
    </xf>
    <xf applyAlignment="true" applyBorder="false" applyFill="false" applyFont="true" applyNumberFormat="false" applyProtection="false" borderId="296" fillId="0" fontId="22" numFmtId="0" xfId="0">
      <alignment horizontal="center" vertical="center" wrapText="true"/>
    </xf>
    <xf applyAlignment="true" applyBorder="false" applyFill="false" applyFont="true" applyNumberFormat="false" applyProtection="false" borderId="297" fillId="0" fontId="22" numFmtId="0" xfId="0">
      <alignment horizontal="center" vertical="center"/>
    </xf>
    <xf applyAlignment="true" applyBorder="false" applyFill="false" applyFont="true" applyNumberFormat="false" applyProtection="false" borderId="298" fillId="0" fontId="22" numFmtId="0" xfId="0">
      <alignment horizontal="center" vertical="center" wrapText="true"/>
    </xf>
    <xf applyAlignment="true" applyBorder="false" applyFill="false" applyFont="true" applyNumberFormat="false" applyProtection="false" borderId="299" fillId="0" fontId="24" numFmtId="0" xfId="0">
      <alignment horizontal="center" vertical="center"/>
    </xf>
    <xf applyAlignment="true" applyBorder="false" applyFill="true" applyFont="true" applyNumberFormat="false" applyProtection="false" borderId="300" fillId="157" fontId="22" numFmtId="0" xfId="0">
      <alignment horizontal="center" vertical="center"/>
    </xf>
    <xf applyAlignment="true" applyBorder="false" applyFill="false" applyFont="true" applyNumberFormat="false" applyProtection="false" borderId="301" fillId="0" fontId="6" numFmtId="0" xfId="0">
      <alignment vertical="center"/>
    </xf>
    <xf applyAlignment="true" applyBorder="false" applyFill="false" applyFont="true" applyNumberFormat="false" applyProtection="false" borderId="302" fillId="0" fontId="22" numFmtId="0" xfId="0">
      <alignment horizontal="center" vertical="center"/>
    </xf>
    <xf applyAlignment="true" applyBorder="false" applyFill="false" applyFont="true" applyNumberFormat="false" applyProtection="false" borderId="303" fillId="0" fontId="6" numFmtId="0" xfId="0">
      <alignment vertical="center"/>
    </xf>
    <xf applyAlignment="true" applyBorder="false" applyFill="false" applyFont="true" applyNumberFormat="true" applyProtection="false" borderId="304" fillId="0" fontId="8" numFmtId="222" xfId="0">
      <alignment horizontal="center" vertical="center"/>
    </xf>
    <xf applyAlignment="true" applyBorder="false" applyFill="false" applyFont="true" applyNumberFormat="true" applyProtection="false" borderId="305" fillId="0" fontId="36" numFmtId="223" xfId="0">
      <alignment horizontal="center" vertical="center" wrapText="true"/>
    </xf>
    <xf applyAlignment="true" applyBorder="false" applyFill="false" applyFont="true" applyNumberFormat="true" applyProtection="false" borderId="306" fillId="0" fontId="33" numFmtId="224" xfId="0">
      <alignment horizontal="center" vertical="center" wrapText="true"/>
    </xf>
    <xf applyAlignment="true" applyBorder="false" applyFill="true" applyFont="true" applyNumberFormat="true" applyProtection="false" borderId="307" fillId="158" fontId="8" numFmtId="225" xfId="0">
      <alignment horizontal="center" vertical="center"/>
    </xf>
    <xf applyAlignment="true" applyBorder="false" applyFill="true" applyFont="true" applyNumberFormat="true" applyProtection="false" borderId="308" fillId="159" fontId="8" numFmtId="226" xfId="0">
      <alignment horizontal="center" vertical="center"/>
    </xf>
    <xf applyAlignment="true" applyBorder="false" applyFill="true" applyFont="true" applyNumberFormat="true" applyProtection="false" borderId="309" fillId="160" fontId="8" numFmtId="227" xfId="0">
      <alignment horizontal="center" vertical="center" wrapText="true"/>
    </xf>
    <xf applyAlignment="true" applyBorder="false" applyFill="true" applyFont="true" applyNumberFormat="true" applyProtection="false" borderId="310" fillId="161" fontId="35" numFmtId="228" xfId="0">
      <alignment horizontal="center" vertical="center"/>
    </xf>
    <xf applyAlignment="true" applyBorder="false" applyFill="true" applyFont="true" applyNumberFormat="true" applyProtection="false" borderId="311" fillId="162" fontId="8" numFmtId="229" xfId="0">
      <alignment horizontal="center" vertical="center" wrapText="true"/>
    </xf>
    <xf applyAlignment="true" applyBorder="false" applyFill="true" applyFont="true" applyNumberFormat="true" applyProtection="false" borderId="312" fillId="163" fontId="21" numFmtId="230" xfId="0">
      <alignment horizontal="center" vertical="center" wrapText="true"/>
    </xf>
    <xf applyAlignment="true" applyBorder="false" applyFill="false" applyFont="true" applyNumberFormat="true" applyProtection="false" borderId="313" fillId="0" fontId="6" numFmtId="231" xfId="0">
      <alignment horizontal="center" vertical="center" wrapText="true"/>
    </xf>
    <xf applyAlignment="true" applyBorder="false" applyFill="false" applyFont="true" applyNumberFormat="true" applyProtection="false" borderId="314" fillId="0" fontId="6" numFmtId="232" xfId="0">
      <alignment horizontal="center" vertical="center" wrapText="true"/>
    </xf>
    <xf applyAlignment="true" applyBorder="false" applyFill="false" applyFont="true" applyNumberFormat="true" applyProtection="false" borderId="315" fillId="0" fontId="6" numFmtId="233" xfId="0">
      <alignment horizontal="center" vertical="center" wrapText="true"/>
    </xf>
    <xf applyAlignment="true" applyBorder="false" applyFill="false" applyFont="true" applyNumberFormat="true" applyProtection="false" borderId="316" fillId="0" fontId="6" numFmtId="234" xfId="0">
      <alignment horizontal="center" vertical="center" wrapText="true"/>
    </xf>
    <xf applyAlignment="true" applyBorder="false" applyFill="true" applyFont="true" applyNumberFormat="true" applyProtection="false" borderId="317" fillId="164" fontId="16" numFmtId="235" xfId="0">
      <alignment horizontal="center" vertical="center" wrapText="true"/>
    </xf>
    <xf applyAlignment="true" applyBorder="false" applyFill="true" applyFont="true" applyNumberFormat="true" applyProtection="false" borderId="318" fillId="165" fontId="16" numFmtId="236" xfId="0">
      <alignment horizontal="center" vertical="center" wrapText="true"/>
    </xf>
    <xf applyAlignment="true" applyBorder="false" applyFill="true" applyFont="true" applyNumberFormat="true" applyProtection="false" borderId="319" fillId="166" fontId="16" numFmtId="237" xfId="0">
      <alignment horizontal="center" vertical="center" wrapText="true"/>
    </xf>
    <xf applyAlignment="true" applyBorder="false" applyFill="false" applyFont="true" applyNumberFormat="true" applyProtection="false" borderId="320" fillId="0" fontId="8" numFmtId="238" xfId="0">
      <alignment horizontal="center" vertical="center" wrapText="true"/>
    </xf>
    <xf applyAlignment="true" applyBorder="false" applyFill="false" applyFont="true" applyNumberFormat="false" applyProtection="false" borderId="321" fillId="0" fontId="7" numFmtId="0" xfId="0">
      <alignment vertical="center"/>
    </xf>
    <xf applyAlignment="true" applyBorder="false" applyFill="false" applyFont="true" applyNumberFormat="true" applyProtection="false" borderId="322" fillId="0" fontId="37" numFmtId="239" xfId="0">
      <alignment horizontal="center" vertical="center" wrapText="true"/>
    </xf>
    <xf applyAlignment="true" applyBorder="false" applyFill="true" applyFont="true" applyNumberFormat="true" applyProtection="false" borderId="323" fillId="167" fontId="28" numFmtId="240" xfId="0">
      <alignment horizontal="center" vertical="center" wrapText="true"/>
    </xf>
    <xf applyAlignment="true" applyBorder="false" applyFill="false" applyFont="true" applyNumberFormat="true" applyProtection="false" borderId="324" fillId="0" fontId="8" numFmtId="241" xfId="0">
      <alignment horizontal="center" vertical="center" wrapText="true"/>
    </xf>
    <xf applyAlignment="true" applyBorder="false" applyFill="false" applyFont="true" applyNumberFormat="true" applyProtection="false" borderId="325" fillId="0" fontId="8" numFmtId="242" xfId="0">
      <alignment horizontal="center" vertical="center"/>
    </xf>
    <xf applyAlignment="true" applyBorder="false" applyFill="false" applyFont="true" applyNumberFormat="true" applyProtection="false" borderId="326" fillId="0" fontId="33" numFmtId="243" xfId="0">
      <alignment horizontal="center" vertical="center" wrapText="true"/>
    </xf>
    <xf applyAlignment="true" applyBorder="false" applyFill="true" applyFont="true" applyNumberFormat="true" applyProtection="false" borderId="327" fillId="168" fontId="22" numFmtId="244" xfId="0">
      <alignment horizontal="center" vertical="center"/>
    </xf>
    <xf applyAlignment="true" applyBorder="false" applyFill="false" applyFont="true" applyNumberFormat="true" applyProtection="false" borderId="328" fillId="0" fontId="15" numFmtId="245" xfId="0">
      <alignment horizontal="left" vertical="center" wrapText="true"/>
    </xf>
    <xf applyAlignment="true" applyBorder="false" applyFill="false" applyFont="true" applyNumberFormat="true" applyProtection="false" borderId="329" fillId="0" fontId="15" numFmtId="246" xfId="0">
      <alignment horizontal="left" vertical="center" wrapText="true"/>
    </xf>
    <xf applyAlignment="true" applyBorder="false" applyFill="false" applyFont="true" applyNumberFormat="true" applyProtection="false" borderId="330" fillId="0" fontId="15" numFmtId="247" xfId="0">
      <alignment horizontal="left" vertical="center" wrapText="true"/>
    </xf>
    <xf applyAlignment="true" applyBorder="false" applyFill="true" applyFont="true" applyNumberFormat="true" applyProtection="false" borderId="331" fillId="169" fontId="16" numFmtId="248" xfId="0">
      <alignment horizontal="center" vertical="center" wrapText="true"/>
    </xf>
    <xf applyAlignment="true" applyBorder="false" applyFill="false" applyFont="true" applyNumberFormat="true" applyProtection="false" borderId="332" fillId="0" fontId="33" numFmtId="249" xfId="0">
      <alignment horizontal="center" vertical="center" wrapText="true"/>
    </xf>
    <xf applyAlignment="true" applyBorder="false" applyFill="false" applyFont="true" applyNumberFormat="true" applyProtection="false" borderId="333" fillId="0" fontId="24" numFmtId="250" xfId="0">
      <alignment horizontal="center" vertical="center" wrapText="true"/>
    </xf>
    <xf applyAlignment="true" applyBorder="false" applyFill="false" applyFont="true" applyNumberFormat="true" applyProtection="false" borderId="334" fillId="0" fontId="24" numFmtId="251" xfId="0">
      <alignment horizontal="center" vertical="center" wrapText="true"/>
    </xf>
    <xf applyAlignment="true" applyBorder="false" applyFill="false" applyFont="true" applyNumberFormat="true" applyProtection="false" borderId="335" fillId="0" fontId="24" numFmtId="252" xfId="0">
      <alignment horizontal="center" vertical="center"/>
    </xf>
    <xf applyAlignment="true" applyBorder="false" applyFill="false" applyFont="true" applyNumberFormat="true" applyProtection="false" borderId="336" fillId="0" fontId="33" numFmtId="253" xfId="0">
      <alignment horizontal="center" vertical="center" wrapText="true"/>
    </xf>
    <xf applyAlignment="true" applyBorder="false" applyFill="false" applyFont="true" applyNumberFormat="true" applyProtection="false" borderId="337" fillId="0" fontId="24" numFmtId="254" xfId="0">
      <alignment horizontal="center" vertical="center"/>
    </xf>
    <xf applyAlignment="true" applyBorder="false" applyFill="false" applyFont="true" applyNumberFormat="true" applyProtection="false" borderId="338" fillId="0" fontId="24" numFmtId="255" xfId="0">
      <alignment horizontal="center" vertical="center"/>
    </xf>
    <xf applyAlignment="true" applyBorder="false" applyFill="false" applyFont="true" applyNumberFormat="true" applyProtection="false" borderId="339" fillId="0" fontId="14" numFmtId="256" xfId="0">
      <alignment horizontal="center" vertical="center"/>
    </xf>
    <xf applyAlignment="true" applyBorder="false" applyFill="false" applyFont="true" applyNumberFormat="true" applyProtection="false" borderId="340" fillId="0" fontId="14" numFmtId="257" xfId="0">
      <alignment horizontal="center" vertical="center"/>
    </xf>
    <xf applyAlignment="true" applyBorder="false" applyFill="false" applyFont="true" applyNumberFormat="true" applyProtection="false" borderId="341" fillId="0" fontId="14" numFmtId="258" xfId="0">
      <alignment horizontal="center" vertical="center"/>
    </xf>
    <xf applyAlignment="true" applyBorder="false" applyFill="false" applyFont="true" applyNumberFormat="true" applyProtection="false" borderId="342" fillId="0" fontId="14" numFmtId="259" xfId="0">
      <alignment horizontal="center" vertical="center"/>
    </xf>
    <xf applyAlignment="true" applyBorder="false" applyFill="false" applyFont="true" applyNumberFormat="false" applyProtection="false" borderId="343" fillId="0" fontId="15" numFmtId="0" xfId="0">
      <alignment horizontal="center" vertical="center" wrapText="true"/>
    </xf>
    <xf applyAlignment="true" applyBorder="false" applyFill="false" applyFont="true" applyNumberFormat="false" applyProtection="false" borderId="344" fillId="0" fontId="20" numFmtId="0" xfId="0">
      <alignment horizontal="center" vertical="center" wrapText="true"/>
    </xf>
    <xf applyAlignment="true" applyBorder="false" applyFill="false" applyFont="true" applyNumberFormat="false" applyProtection="false" borderId="345" fillId="0" fontId="20" numFmtId="0" xfId="0">
      <alignment horizontal="center" vertical="center"/>
    </xf>
    <xf applyAlignment="true" applyBorder="false" applyFill="true" applyFont="true" applyNumberFormat="false" applyProtection="false" borderId="346" fillId="170" fontId="5" numFmtId="0" xfId="0">
      <alignment horizontal="center" vertical="center" wrapText="true"/>
    </xf>
    <xf applyAlignment="true" applyBorder="false" applyFill="true" applyFont="true" applyNumberFormat="false" applyProtection="false" borderId="347" fillId="171" fontId="31" numFmtId="0" xfId="0">
      <alignment horizontal="center" vertical="center" wrapText="true"/>
    </xf>
    <xf applyAlignment="true" applyBorder="false" applyFill="true" applyFont="true" applyNumberFormat="true" applyProtection="false" borderId="348" fillId="172" fontId="31" numFmtId="260" xfId="0">
      <alignment horizontal="center" vertical="center" wrapText="true"/>
    </xf>
    <xf applyAlignment="true" applyBorder="false" applyFill="true" applyFont="true" applyNumberFormat="false" applyProtection="false" borderId="349" fillId="173" fontId="7" numFmtId="0" xfId="0">
      <alignment horizontal="center" vertical="center"/>
    </xf>
    <xf applyAlignment="true" applyBorder="false" applyFill="true" applyFont="true" applyNumberFormat="false" applyProtection="false" borderId="350" fillId="174" fontId="7" numFmtId="0" xfId="0">
      <alignment horizontal="center" vertical="center" wrapText="true"/>
    </xf>
    <xf applyAlignment="true" applyBorder="false" applyFill="true" applyFont="true" applyNumberFormat="false" applyProtection="false" borderId="351" fillId="175" fontId="28" numFmtId="0" xfId="0">
      <alignment horizontal="center" vertical="center"/>
    </xf>
    <xf applyAlignment="true" applyBorder="false" applyFill="false" applyFont="true" applyNumberFormat="false" applyProtection="false" borderId="352" fillId="0" fontId="12" numFmtId="0" xfId="0">
      <alignment horizontal="center" vertical="center" wrapText="true"/>
    </xf>
    <xf applyAlignment="true" applyBorder="false" applyFill="false" applyFont="true" applyNumberFormat="false" applyProtection="false" borderId="353" fillId="0" fontId="12" numFmtId="0" xfId="0">
      <alignment horizontal="center" vertical="center" wrapText="true"/>
    </xf>
    <xf applyAlignment="true" applyBorder="false" applyFill="true" applyFont="true" applyNumberFormat="false" applyProtection="false" borderId="354" fillId="176" fontId="24" numFmtId="0" xfId="0">
      <alignment horizontal="center" vertical="center" wrapText="true"/>
    </xf>
    <xf applyAlignment="true" applyBorder="false" applyFill="true" applyFont="true" applyNumberFormat="false" applyProtection="false" borderId="355" fillId="177" fontId="8" numFmtId="0" xfId="0">
      <alignment horizontal="center" vertical="center" wrapText="true"/>
    </xf>
    <xf applyAlignment="true" applyBorder="false" applyFill="true" applyFont="true" applyNumberFormat="false" applyProtection="false" borderId="356" fillId="178" fontId="8" numFmtId="0" xfId="0">
      <alignment horizontal="center" vertical="center" wrapText="true"/>
    </xf>
    <xf applyAlignment="true" applyBorder="false" applyFill="true" applyFont="true" applyNumberFormat="true" applyProtection="false" borderId="357" fillId="179" fontId="13" numFmtId="261" xfId="0">
      <alignment horizontal="center" vertical="center"/>
    </xf>
    <xf applyAlignment="true" applyBorder="false" applyFill="true" applyFont="true" applyNumberFormat="true" applyProtection="false" borderId="358" fillId="180" fontId="13" numFmtId="262" xfId="0">
      <alignment horizontal="center" vertical="center"/>
    </xf>
    <xf applyAlignment="true" applyBorder="false" applyFill="false" applyFont="true" applyNumberFormat="true" applyProtection="false" borderId="359" fillId="0" fontId="13" numFmtId="263" xfId="0">
      <alignment horizontal="center" vertical="center"/>
    </xf>
    <xf applyAlignment="true" applyBorder="false" applyFill="true" applyFont="true" applyNumberFormat="false" applyProtection="false" borderId="360" fillId="181" fontId="8" numFmtId="0" xfId="0">
      <alignment horizontal="center" vertical="center" wrapText="true"/>
    </xf>
    <xf applyAlignment="true" applyBorder="false" applyFill="true" applyFont="true" applyNumberFormat="true" applyProtection="false" borderId="361" fillId="182" fontId="13" numFmtId="264" xfId="0">
      <alignment horizontal="center" vertical="center"/>
    </xf>
    <xf applyAlignment="true" applyBorder="false" applyFill="true" applyFont="true" applyNumberFormat="true" applyProtection="false" borderId="362" fillId="183" fontId="13" numFmtId="265" xfId="0">
      <alignment horizontal="center" vertical="center"/>
    </xf>
    <xf applyAlignment="true" applyBorder="false" applyFill="true" applyFont="true" applyNumberFormat="false" applyProtection="false" borderId="363" fillId="184" fontId="8" numFmtId="0" xfId="0">
      <alignment horizontal="center" vertical="center" wrapText="true"/>
    </xf>
    <xf applyAlignment="true" applyBorder="false" applyFill="true" applyFont="true" applyNumberFormat="false" applyProtection="false" borderId="364" fillId="185" fontId="8" numFmtId="0" xfId="0">
      <alignment horizontal="center" vertical="center"/>
    </xf>
    <xf applyAlignment="true" applyBorder="false" applyFill="true" applyFont="true" applyNumberFormat="true" applyProtection="false" borderId="365" fillId="186" fontId="13" numFmtId="266" xfId="0">
      <alignment horizontal="center" vertical="center"/>
    </xf>
    <xf applyAlignment="true" applyBorder="false" applyFill="true" applyFont="true" applyNumberFormat="true" applyProtection="false" borderId="366" fillId="187" fontId="13" numFmtId="267" xfId="0">
      <alignment horizontal="center" vertical="center"/>
    </xf>
    <xf applyAlignment="true" applyBorder="false" applyFill="true" applyFont="true" applyNumberFormat="false" applyProtection="false" borderId="367" fillId="188" fontId="29" numFmtId="0" xfId="0">
      <alignment vertical="center"/>
    </xf>
    <xf applyAlignment="true" applyBorder="false" applyFill="true" applyFont="true" applyNumberFormat="false" applyProtection="false" borderId="368" fillId="189" fontId="38" numFmtId="0" xfId="0">
      <alignment horizontal="left" vertical="center"/>
    </xf>
    <xf applyAlignment="true" applyBorder="false" applyFill="true" applyFont="true" applyNumberFormat="false" applyProtection="false" borderId="369" fillId="190" fontId="38" numFmtId="0" xfId="0">
      <alignment horizontal="left" vertical="center" wrapText="true"/>
    </xf>
    <xf applyAlignment="true" applyBorder="false" applyFill="true" applyFont="true" applyNumberFormat="false" applyProtection="false" borderId="370" fillId="191" fontId="16" numFmtId="0" xfId="0">
      <alignment horizontal="center" vertical="center" wrapText="true"/>
    </xf>
    <xf applyAlignment="true" applyBorder="false" applyFill="true" applyFont="true" applyNumberFormat="false" applyProtection="false" borderId="371" fillId="192" fontId="29" numFmtId="0" xfId="0">
      <alignment vertical="center"/>
    </xf>
    <xf applyAlignment="true" applyBorder="false" applyFill="true" applyFont="true" applyNumberFormat="false" applyProtection="false" borderId="372" fillId="193" fontId="16" numFmtId="0" xfId="0">
      <alignment horizontal="center" vertical="center" wrapText="true"/>
    </xf>
    <xf applyAlignment="true" applyBorder="false" applyFill="true" applyFont="true" applyNumberFormat="false" applyProtection="false" borderId="373" fillId="194" fontId="8" numFmtId="0" xfId="0">
      <alignment horizontal="center" vertical="center" wrapText="true"/>
    </xf>
    <xf applyAlignment="true" applyBorder="false" applyFill="true" applyFont="true" applyNumberFormat="false" applyProtection="false" borderId="374" fillId="195" fontId="18" numFmtId="0" xfId="0">
      <alignment horizontal="center" vertical="center"/>
    </xf>
    <xf applyAlignment="true" applyBorder="false" applyFill="true" applyFont="true" applyNumberFormat="false" applyProtection="false" borderId="375" fillId="196" fontId="18" numFmtId="0" xfId="0">
      <alignment horizontal="center" vertical="center"/>
    </xf>
    <xf applyAlignment="true" applyBorder="false" applyFill="false" applyFont="true" applyNumberFormat="false" applyProtection="false" borderId="376" fillId="0" fontId="22" numFmtId="0" xfId="0">
      <alignment vertical="center"/>
    </xf>
    <xf applyAlignment="true" applyBorder="false" applyFill="true" applyFont="true" applyNumberFormat="false" applyProtection="false" borderId="377" fillId="197" fontId="8" numFmtId="0" xfId="0">
      <alignment horizontal="center" vertical="center" wrapText="true"/>
    </xf>
    <xf applyAlignment="true" applyBorder="false" applyFill="true" applyFont="true" applyNumberFormat="false" applyProtection="false" borderId="378" fillId="198" fontId="8" numFmtId="0" xfId="0">
      <alignment horizontal="center" vertical="center"/>
    </xf>
    <xf applyAlignment="true" applyBorder="false" applyFill="true" applyFont="true" applyNumberFormat="true" applyProtection="false" borderId="379" fillId="199" fontId="13" numFmtId="268" xfId="0">
      <alignment horizontal="center" vertical="center"/>
    </xf>
    <xf applyAlignment="true" applyBorder="false" applyFill="false" applyFont="true" applyNumberFormat="true" applyProtection="false" borderId="380" fillId="0" fontId="6" numFmtId="269" xfId="0">
      <alignment vertical="center"/>
    </xf>
    <xf applyAlignment="true" applyBorder="false" applyFill="false" applyFont="true" applyNumberFormat="true" applyProtection="false" borderId="381" fillId="0" fontId="15" numFmtId="270" xfId="0">
      <alignment horizontal="left" vertical="center" wrapText="true"/>
    </xf>
    <xf applyAlignment="true" applyBorder="false" applyFill="false" applyFont="true" applyNumberFormat="false" applyProtection="false" borderId="382" fillId="0" fontId="2" numFmtId="0" xfId="0">
      <alignment vertical="center"/>
    </xf>
    <xf applyAlignment="true" applyBorder="false" applyFill="false" applyFont="true" applyNumberFormat="false" applyProtection="false" borderId="383" fillId="0" fontId="24" numFmtId="0" xfId="0">
      <alignment horizontal="left" vertical="center"/>
    </xf>
    <xf applyAlignment="true" applyBorder="false" applyFill="false" applyFont="true" applyNumberFormat="false" applyProtection="false" borderId="384" fillId="0" fontId="24" numFmtId="0" xfId="0">
      <alignment horizontal="left" vertical="center" wrapText="true"/>
    </xf>
    <xf applyAlignment="true" applyBorder="false" applyFill="true" applyFont="true" applyNumberFormat="false" applyProtection="false" borderId="385" fillId="200" fontId="8" numFmtId="0" xfId="0">
      <alignment horizontal="center" vertical="center" wrapText="true"/>
    </xf>
    <xf applyAlignment="true" applyBorder="false" applyFill="true" applyFont="true" applyNumberFormat="false" applyProtection="false" borderId="386" fillId="201" fontId="8" numFmtId="0" xfId="0">
      <alignment horizontal="center"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3.jpe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4.jpeg" Type="http://schemas.openxmlformats.org/officeDocument/2006/relationships/image"></Relationship><Relationship Id="rId2" Target="../media/image5.jpe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5.jpe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5.jpeg" Type="http://schemas.openxmlformats.org/officeDocument/2006/relationships/image"></Relationship><Relationship Id="rId2" Target="../media/image6.jpe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5.jpe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5.jpe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5.jpe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5.jpe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5.jpe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5.jpeg" Type="http://schemas.openxmlformats.org/officeDocument/2006/relationships/image"></Relationship></Relationships>
</file>

<file path=xl/drawings/_rels/drawing12.xml.rels><?xml version="1.0" encoding="UTF-8" standalone="yes"?>
<Relationships xmlns="http://schemas.openxmlformats.org/package/2006/relationships"><Relationship Id="rId1" Target="../media/image5.jpeg" Type="http://schemas.openxmlformats.org/officeDocument/2006/relationships/image"></Relationship></Relationships>
</file>

<file path=xl/drawings/_rels/drawing13.xml.rels><?xml version="1.0" encoding="UTF-8" standalone="yes"?>
<Relationships xmlns="http://schemas.openxmlformats.org/package/2006/relationships"><Relationship Id="rId1" Target="../media/image5.jpeg" Type="http://schemas.openxmlformats.org/officeDocument/2006/relationships/image"></Relationship></Relationships>
</file>

<file path=xl/drawings/_rels/drawing14.xml.rels><?xml version="1.0" encoding="UTF-8" standalone="yes"?>
<Relationships xmlns="http://schemas.openxmlformats.org/package/2006/relationships"><Relationship Id="rId1" Target="../media/image5.jpeg" Type="http://schemas.openxmlformats.org/officeDocument/2006/relationships/image"></Relationship></Relationships>
</file>

<file path=xl/drawings/_rels/drawing15.xml.rels><?xml version="1.0" encoding="UTF-8" standalone="yes"?>
<Relationships xmlns="http://schemas.openxmlformats.org/package/2006/relationships"><Relationship Id="rId1" Target="../media/image5.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0</xdr:row>
      <xdr:rowOff>0</xdr:rowOff>
    </xdr:from>
    <xdr:to>
      <xdr:col>5</xdr:col>
      <xdr:colOff>1285875</xdr:colOff>
      <xdr:row>1</xdr:row>
      <xdr:rowOff>0</xdr:rowOff>
    </xdr:to>
    <xdr:pic>
      <xdr:nvPicPr>
        <xdr:cNvPr id="2" name="Picture 2" descr="VCgvLr"/>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xdr:from>
      <xdr:col>0</xdr:col>
      <xdr:colOff>0</xdr:colOff>
      <xdr:row>0</xdr:row>
      <xdr:rowOff>0</xdr:rowOff>
    </xdr:from>
    <xdr:to>
      <xdr:col>11</xdr:col>
      <xdr:colOff>819150</xdr:colOff>
      <xdr:row>1</xdr:row>
      <xdr:rowOff>0</xdr:rowOff>
    </xdr:to>
    <xdr:pic>
      <xdr:nvPicPr>
        <xdr:cNvPr id="2" name="Picture 2" descr="VoTmNB"/>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xdr:from>
      <xdr:col>2</xdr:col>
      <xdr:colOff>161925</xdr:colOff>
      <xdr:row>0</xdr:row>
      <xdr:rowOff>914400</xdr:rowOff>
    </xdr:from>
    <xdr:to>
      <xdr:col>3</xdr:col>
      <xdr:colOff>57150</xdr:colOff>
      <xdr:row>0</xdr:row>
      <xdr:rowOff>1514475</xdr:rowOff>
    </xdr:to>
    <xdr:pic>
      <xdr:nvPicPr>
        <xdr:cNvPr id="2" name="Picture 2" descr="DDchNH"/>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0</xdr:col>
      <xdr:colOff>0</xdr:colOff>
      <xdr:row>0</xdr:row>
      <xdr:rowOff>0</xdr:rowOff>
    </xdr:from>
    <xdr:to>
      <xdr:col>14</xdr:col>
      <xdr:colOff>1104900</xdr:colOff>
      <xdr:row>0</xdr:row>
      <xdr:rowOff>1762125</xdr:rowOff>
    </xdr:to>
    <xdr:pic>
      <xdr:nvPicPr>
        <xdr:cNvPr id="3" name="Picture 3" descr="DfvchH"/>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xdr:from>
      <xdr:col>0</xdr:col>
      <xdr:colOff>9525</xdr:colOff>
      <xdr:row>0</xdr:row>
      <xdr:rowOff>9525</xdr:rowOff>
    </xdr:from>
    <xdr:to>
      <xdr:col>15</xdr:col>
      <xdr:colOff>647700</xdr:colOff>
      <xdr:row>0</xdr:row>
      <xdr:rowOff>1628775</xdr:rowOff>
    </xdr:to>
    <xdr:pic>
      <xdr:nvPicPr>
        <xdr:cNvPr id="2" name="Picture 2" descr="DRVQss"/>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xdr:from>
      <xdr:col>0</xdr:col>
      <xdr:colOff>571500</xdr:colOff>
      <xdr:row>0</xdr:row>
      <xdr:rowOff>0</xdr:rowOff>
    </xdr:from>
    <xdr:to>
      <xdr:col>6</xdr:col>
      <xdr:colOff>1676400</xdr:colOff>
      <xdr:row>0</xdr:row>
      <xdr:rowOff>1285875</xdr:rowOff>
    </xdr:to>
    <xdr:pic>
      <xdr:nvPicPr>
        <xdr:cNvPr id="2" name="Picture 2" descr="cEthDS"/>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7</xdr:col>
      <xdr:colOff>95250</xdr:colOff>
      <xdr:row>4</xdr:row>
      <xdr:rowOff>9525</xdr:rowOff>
    </xdr:from>
    <xdr:to>
      <xdr:col>17</xdr:col>
      <xdr:colOff>847725</xdr:colOff>
      <xdr:row>13</xdr:row>
      <xdr:rowOff>95250</xdr:rowOff>
    </xdr:to>
    <xdr:pic>
      <xdr:nvPicPr>
        <xdr:cNvPr id="3" name="Picture 3" descr="pLgOSA"/>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xdr:from>
      <xdr:col>0</xdr:col>
      <xdr:colOff>0</xdr:colOff>
      <xdr:row>0</xdr:row>
      <xdr:rowOff>0</xdr:rowOff>
    </xdr:from>
    <xdr:to>
      <xdr:col>18</xdr:col>
      <xdr:colOff>876300</xdr:colOff>
      <xdr:row>1</xdr:row>
      <xdr:rowOff>0</xdr:rowOff>
    </xdr:to>
    <xdr:pic>
      <xdr:nvPicPr>
        <xdr:cNvPr id="2" name="Picture 2" descr="hawEOz"/>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xdr:from>
      <xdr:col>0</xdr:col>
      <xdr:colOff>0</xdr:colOff>
      <xdr:row>0</xdr:row>
      <xdr:rowOff>0</xdr:rowOff>
    </xdr:from>
    <xdr:to>
      <xdr:col>4</xdr:col>
      <xdr:colOff>1647825</xdr:colOff>
      <xdr:row>0</xdr:row>
      <xdr:rowOff>1590675</xdr:rowOff>
    </xdr:to>
    <xdr:pic>
      <xdr:nvPicPr>
        <xdr:cNvPr id="2" name="Picture 2" descr="SjRbIS"/>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xdr:from>
      <xdr:col>0</xdr:col>
      <xdr:colOff>0</xdr:colOff>
      <xdr:row>0</xdr:row>
      <xdr:rowOff>0</xdr:rowOff>
    </xdr:from>
    <xdr:to>
      <xdr:col>13</xdr:col>
      <xdr:colOff>1000125</xdr:colOff>
      <xdr:row>0</xdr:row>
      <xdr:rowOff>1543050</xdr:rowOff>
    </xdr:to>
    <xdr:pic>
      <xdr:nvPicPr>
        <xdr:cNvPr id="2" name="Picture 2" descr="dVRfyI"/>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xdr:from>
      <xdr:col>0</xdr:col>
      <xdr:colOff>0</xdr:colOff>
      <xdr:row>0</xdr:row>
      <xdr:rowOff>0</xdr:rowOff>
    </xdr:from>
    <xdr:to>
      <xdr:col>8</xdr:col>
      <xdr:colOff>1209675</xdr:colOff>
      <xdr:row>0</xdr:row>
      <xdr:rowOff>1752600</xdr:rowOff>
    </xdr:to>
    <xdr:pic>
      <xdr:nvPicPr>
        <xdr:cNvPr id="2" name="Picture 2" descr="ibPFxx"/>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xdr:from>
      <xdr:col>0</xdr:col>
      <xdr:colOff>0</xdr:colOff>
      <xdr:row>0</xdr:row>
      <xdr:rowOff>0</xdr:rowOff>
    </xdr:from>
    <xdr:to>
      <xdr:col>8</xdr:col>
      <xdr:colOff>1162050</xdr:colOff>
      <xdr:row>1</xdr:row>
      <xdr:rowOff>28575</xdr:rowOff>
    </xdr:to>
    <xdr:pic>
      <xdr:nvPicPr>
        <xdr:cNvPr id="2" name="Picture 2" descr="anMove"/>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xdr:from>
      <xdr:col>0</xdr:col>
      <xdr:colOff>0</xdr:colOff>
      <xdr:row>0</xdr:row>
      <xdr:rowOff>0</xdr:rowOff>
    </xdr:from>
    <xdr:to>
      <xdr:col>3</xdr:col>
      <xdr:colOff>2057400</xdr:colOff>
      <xdr:row>0</xdr:row>
      <xdr:rowOff>1800225</xdr:rowOff>
    </xdr:to>
    <xdr:pic>
      <xdr:nvPicPr>
        <xdr:cNvPr id="2" name="Picture 2" descr="NVlVL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2.xml><?xml version="1.0" encoding="utf-8"?>
<xdr:wsDr xmlns:a="http://schemas.openxmlformats.org/drawingml/2006/main" xmlns:xdr="http://schemas.openxmlformats.org/drawingml/2006/spreadsheetDrawing">
  <xdr:twoCellAnchor>
    <xdr:from>
      <xdr:col>0</xdr:col>
      <xdr:colOff>0</xdr:colOff>
      <xdr:row>0</xdr:row>
      <xdr:rowOff>0</xdr:rowOff>
    </xdr:from>
    <xdr:to>
      <xdr:col>6</xdr:col>
      <xdr:colOff>1219200</xdr:colOff>
      <xdr:row>0</xdr:row>
      <xdr:rowOff>1524000</xdr:rowOff>
    </xdr:to>
    <xdr:pic>
      <xdr:nvPicPr>
        <xdr:cNvPr id="2" name="Picture 2" descr="cwmdrt"/>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3.xml><?xml version="1.0" encoding="utf-8"?>
<xdr:wsDr xmlns:a="http://schemas.openxmlformats.org/drawingml/2006/main" xmlns:xdr="http://schemas.openxmlformats.org/drawingml/2006/spreadsheetDrawing">
  <xdr:twoCellAnchor>
    <xdr:from>
      <xdr:col>0</xdr:col>
      <xdr:colOff>0</xdr:colOff>
      <xdr:row>0</xdr:row>
      <xdr:rowOff>0</xdr:rowOff>
    </xdr:from>
    <xdr:to>
      <xdr:col>6</xdr:col>
      <xdr:colOff>2238375</xdr:colOff>
      <xdr:row>0</xdr:row>
      <xdr:rowOff>1733550</xdr:rowOff>
    </xdr:to>
    <xdr:pic>
      <xdr:nvPicPr>
        <xdr:cNvPr id="2" name="Picture 2" descr="UjDvBy"/>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4.xml><?xml version="1.0" encoding="utf-8"?>
<xdr:wsDr xmlns:a="http://schemas.openxmlformats.org/drawingml/2006/main" xmlns:xdr="http://schemas.openxmlformats.org/drawingml/2006/spreadsheetDrawing">
  <xdr:twoCellAnchor>
    <xdr:from>
      <xdr:col>0</xdr:col>
      <xdr:colOff>0</xdr:colOff>
      <xdr:row>0</xdr:row>
      <xdr:rowOff>0</xdr:rowOff>
    </xdr:from>
    <xdr:to>
      <xdr:col>5</xdr:col>
      <xdr:colOff>2981325</xdr:colOff>
      <xdr:row>1</xdr:row>
      <xdr:rowOff>19050</xdr:rowOff>
    </xdr:to>
    <xdr:pic>
      <xdr:nvPicPr>
        <xdr:cNvPr id="2" name="Picture 2" descr="pnOttH"/>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5.xml><?xml version="1.0" encoding="utf-8"?>
<xdr:wsDr xmlns:a="http://schemas.openxmlformats.org/drawingml/2006/main" xmlns:xdr="http://schemas.openxmlformats.org/drawingml/2006/spreadsheetDrawing">
  <xdr:twoCellAnchor>
    <xdr:from>
      <xdr:col>0</xdr:col>
      <xdr:colOff>0</xdr:colOff>
      <xdr:row>0</xdr:row>
      <xdr:rowOff>0</xdr:rowOff>
    </xdr:from>
    <xdr:to>
      <xdr:col>4</xdr:col>
      <xdr:colOff>1666875</xdr:colOff>
      <xdr:row>0</xdr:row>
      <xdr:rowOff>1962150</xdr:rowOff>
    </xdr:to>
    <xdr:pic>
      <xdr:nvPicPr>
        <xdr:cNvPr id="2" name="Picture 2" descr="AcymEL"/>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 Id="rId2" Target="../media/image2.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drawings/drawing2.xml" Type="http://schemas.openxmlformats.org/officeDocument/2006/relationships/drawing"></Relationship><Relationship Id="rId2" Target="../media/image2.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2.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drawings/drawing3.xml" Type="http://schemas.openxmlformats.org/officeDocument/2006/relationships/drawing"></Relationship><Relationship Id="rId2" Target="../media/image2.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drawings/drawing4.xml" Type="http://schemas.openxmlformats.org/officeDocument/2006/relationships/drawing"></Relationship><Relationship Id="rId2" Target="../media/image2.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drawings/drawing5.xml" Type="http://schemas.openxmlformats.org/officeDocument/2006/relationships/drawing"></Relationship><Relationship Id="rId2" Target="../media/image2.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drawings/drawing6.xml" Type="http://schemas.openxmlformats.org/officeDocument/2006/relationships/drawing"></Relationship><Relationship Id="rId2" Target="../media/image2.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drawings/drawing7.xml" Type="http://schemas.openxmlformats.org/officeDocument/2006/relationships/drawing"></Relationship><Relationship Id="rId2" Target="../media/image2.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drawings/drawing8.xml" Type="http://schemas.openxmlformats.org/officeDocument/2006/relationships/drawing"></Relationship><Relationship Id="rId2" Target="../media/image2.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drawings/drawing9.xml" Type="http://schemas.openxmlformats.org/officeDocument/2006/relationships/drawing"></Relationship><Relationship Id="rId2" Target="../media/image2.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drawings/drawing10.xml" Type="http://schemas.openxmlformats.org/officeDocument/2006/relationships/drawing"></Relationship><Relationship Id="rId2" Target="../media/image2.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drawings/drawing11.xml" Type="http://schemas.openxmlformats.org/officeDocument/2006/relationships/drawing"></Relationship><Relationship Id="rId2" Target="../media/image2.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drawings/drawing12.xml" Type="http://schemas.openxmlformats.org/officeDocument/2006/relationships/drawing"></Relationship><Relationship Id="rId2" Target="../media/image2.png" Type="http://schemas.openxmlformats.org/officeDocument/2006/relationships/image"></Relationship></Relationships>
</file>

<file path=xl/worksheets/_rels/sheet15.xml.rels><?xml version="1.0" encoding="UTF-8" standalone="yes"?>
<Relationships xmlns="http://schemas.openxmlformats.org/package/2006/relationships"><Relationship Id="rId1" Target="../drawings/drawing13.xml" Type="http://schemas.openxmlformats.org/officeDocument/2006/relationships/drawing"></Relationship><Relationship Id="rId2" Target="../media/image2.png" Type="http://schemas.openxmlformats.org/officeDocument/2006/relationships/image"></Relationship></Relationships>
</file>

<file path=xl/worksheets/_rels/sheet16.xml.rels><?xml version="1.0" encoding="UTF-8" standalone="yes"?>
<Relationships xmlns="http://schemas.openxmlformats.org/package/2006/relationships"><Relationship Id="rId1" Target="https://www.ziplucas.com/index.html" Type="http://schemas.openxmlformats.org/officeDocument/2006/relationships/hyperlink" TargetMode="External"></Relationship><Relationship Id="rId2" Target="../drawings/drawing14.xml" Type="http://schemas.openxmlformats.org/officeDocument/2006/relationships/drawing"></Relationship><Relationship Id="rId3" Target="../media/image2.png" Type="http://schemas.openxmlformats.org/officeDocument/2006/relationships/image"></Relationship></Relationships>
</file>

<file path=xl/worksheets/_rels/sheet17.xml.rels><?xml version="1.0" encoding="UTF-8" standalone="yes"?>
<Relationships xmlns="http://schemas.openxmlformats.org/package/2006/relationships"><Relationship Id="rId1" Target="../drawings/drawing15.xml" Type="http://schemas.openxmlformats.org/officeDocument/2006/relationships/drawing"></Relationship><Relationship Id="rId2" Target="../media/image2.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18"/>
    <col collapsed="false" customWidth="true" hidden="false" max="2" min="2" style="0" width="15"/>
    <col collapsed="false" customWidth="true" hidden="false" max="3" min="3" style="0" width="15"/>
    <col collapsed="false" customWidth="true" hidden="false" max="4" min="4" style="0" width="60"/>
    <col collapsed="false" customWidth="true" hidden="false" max="5" min="5" style="0" width="22"/>
    <col collapsed="false" customWidth="true" hidden="false" max="6" min="6" style="0" width="21"/>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39" r="1">
      <c r="A1" s="13"/>
      <c r="B1" s="13"/>
      <c r="C1" s="13"/>
      <c r="D1" s="13"/>
      <c r="E1" s="13"/>
      <c r="F1" s="13"/>
    </row>
    <row customHeight="true" ht="24" r="2">
      <c r="A2" s="12" t="str">
        <v>渠道名称</v>
      </c>
      <c r="B2" s="12" t="str">
        <v>渠道代码</v>
      </c>
      <c r="C2" s="12" t="str">
        <v>进入价格</v>
      </c>
      <c r="D2" s="12" t="str">
        <v>渠道优势说明</v>
      </c>
      <c r="E2" s="12" t="str">
        <v>最快提取/送仓时间</v>
      </c>
      <c r="F2" s="12" t="str">
        <v>备注</v>
      </c>
    </row>
    <row customHeight="true" ht="32" r="3">
      <c r="A3" s="4" t="str">
        <v>国际快递</v>
      </c>
      <c r="B3" s="5" t="str">
        <v>US-GZ</v>
      </c>
      <c r="C3" s="1" t="s">
        <v>1</v>
      </c>
      <c r="D3" s="2" t="str">
        <v>大陆自主账号，自主打单，自主发货，一手操作</v>
      </c>
      <c r="E3" s="3" t="str">
        <v>当天提取</v>
      </c>
      <c r="F3" s="2" t="str">
        <v>自主账号</v>
      </c>
    </row>
    <row customHeight="true" ht="32" r="4">
      <c r="A4" s="6" t="str">
        <v>美国空运240</v>
      </c>
      <c r="B4" s="7" t="str">
        <v>USMAF</v>
      </c>
      <c r="C4" s="8" t="s">
        <v>1</v>
      </c>
      <c r="D4" s="9" t="str">
        <v>大陆优质航班，时效稳定，整板拆派</v>
      </c>
      <c r="E4" s="10" t="str">
        <v>5-10个自然日提取</v>
      </c>
      <c r="F4" s="9" t="str">
        <v>每周航班</v>
      </c>
    </row>
    <row customHeight="true" ht="32" r="5">
      <c r="A5" s="4" t="str">
        <v>美森360</v>
      </c>
      <c r="B5" s="5" t="str">
        <v>USMS360</v>
      </c>
      <c r="C5" s="1" t="s">
        <v>1</v>
      </c>
      <c r="D5" s="2" t="str">
        <v>飞点旗舰产品，美森CLX服务，360小时延误赔付</v>
      </c>
      <c r="E5" s="3" t="str">
        <v>12-15个自然日提取</v>
      </c>
      <c r="F5" s="2" t="str">
        <v>美线最快方案</v>
      </c>
    </row>
    <row customHeight="true" ht="34" r="6">
      <c r="A6" s="6" t="str">
        <v>美森432</v>
      </c>
      <c r="B6" s="7" t="str">
        <v>USMS432</v>
      </c>
      <c r="C6" s="8" t="s">
        <v>1</v>
      </c>
      <c r="D6" s="9" t="str">
        <v>飞点尖端产品，美森MAX快航服务，对标市场限时达，432小时延误赔付</v>
      </c>
      <c r="E6" s="10" t="str">
        <v>13-17个自然日提取</v>
      </c>
      <c r="F6" s="9" t="str">
        <v>快船首选方案</v>
      </c>
    </row>
    <row customHeight="true" ht="34" r="7">
      <c r="A7" s="4" t="str">
        <v>EX456</v>
      </c>
      <c r="B7" s="5" t="str">
        <v>US456</v>
      </c>
      <c r="C7" s="1" t="s">
        <v>1</v>
      </c>
      <c r="D7" s="2" t="str">
        <v>ZIM/合德/CMA快提服务，目的港专属通道优先提柜，时效比肩美森MAX，456小时延误赔付</v>
      </c>
      <c r="E7" s="3" t="str">
        <v>14-18个自然日提取</v>
      </c>
      <c r="F7" s="2" t="str">
        <v>华东华南美线优质服务</v>
      </c>
    </row>
    <row customHeight="true" ht="32" r="8">
      <c r="A8" s="6" t="str">
        <v>快船600</v>
      </c>
      <c r="B8" s="7" t="str">
        <v>USOA600</v>
      </c>
      <c r="C8" s="8" t="s">
        <v>1</v>
      </c>
      <c r="D8" s="9" t="str">
        <v>COSCO/OOCL/EMC保舱服务，提供甩柜、600小时时效延误双重理赔服务</v>
      </c>
      <c r="E8" s="10" t="str">
        <v>20-25个自然日送仓</v>
      </c>
      <c r="F8" s="9" t="str">
        <v>美西保舱服务,极致性价比</v>
      </c>
    </row>
    <row customHeight="true" ht="36" r="9">
      <c r="A9" s="4" t="str">
        <v>玩具普船FBA专线</v>
      </c>
      <c r="B9" s="5" t="str">
        <v>USWJZX</v>
      </c>
      <c r="C9" s="1" t="s">
        <v>1</v>
      </c>
      <c r="D9" s="2" t="str">
        <v>玩具卖家备货性价比首选</v>
      </c>
      <c r="E9" s="3" t="str">
        <v>22-32个自然日</v>
      </c>
      <c r="F9" s="2" t="str">
        <v>玩具产品性价比首选方案</v>
      </c>
    </row>
    <row customHeight="true" ht="32" r="10">
      <c r="A10" s="6" t="str">
        <v>奥克兰744</v>
      </c>
      <c r="B10" s="7" t="str">
        <v>US744</v>
      </c>
      <c r="C10" s="8" t="s">
        <v>1</v>
      </c>
      <c r="D10" s="9" t="str">
        <v>奥克兰低成本之王，开船744小时提取</v>
      </c>
      <c r="E10" s="10" t="str">
        <v>26-34个自然日</v>
      </c>
      <c r="F10" s="9" t="str">
        <v>奥克兰低成本方案</v>
      </c>
    </row>
    <row customHeight="true" ht="32" r="11">
      <c r="A11" s="4" t="str">
        <v>洛杉矶768</v>
      </c>
      <c r="B11" s="5" t="str">
        <v>USW768</v>
      </c>
      <c r="C11" s="1" t="s">
        <v>1</v>
      </c>
      <c r="D11" s="2" t="str">
        <v>美西低成本之王，开船768小时送仓</v>
      </c>
      <c r="E11" s="3" t="str">
        <v>24-32个自然日送仓</v>
      </c>
      <c r="F11" s="2" t="str">
        <v>美西低成本方案</v>
      </c>
    </row>
    <row customHeight="true" ht="32" r="12">
      <c r="A12" s="6" t="str">
        <v>西雅图788</v>
      </c>
      <c r="B12" s="7" t="str">
        <v>US788</v>
      </c>
      <c r="C12" s="8" t="s">
        <v>1</v>
      </c>
      <c r="D12" s="9" t="str">
        <v>美西低成本之王，西雅图港口直提，开船788小时送仓</v>
      </c>
      <c r="E12" s="10" t="str">
        <v>28-37个自然日</v>
      </c>
      <c r="F12" s="9" t="str">
        <v>美西低成本方案</v>
      </c>
    </row>
    <row customHeight="true" ht="32" r="13">
      <c r="A13" s="4" t="str">
        <v>芝加哥840</v>
      </c>
      <c r="B13" s="5" t="str">
        <v>US840</v>
      </c>
      <c r="C13" s="1" t="s">
        <v>1</v>
      </c>
      <c r="D13" s="2" t="str">
        <v>芝加哥仓点性价比之王，LB港口卸船后优先上火车中转芝加哥，开船840小时送仓</v>
      </c>
      <c r="E13" s="3" t="str">
        <v>30-35个自然日</v>
      </c>
      <c r="F13" s="2" t="str">
        <v>美中低成本方案</v>
      </c>
    </row>
    <row customHeight="true" ht="32" r="14">
      <c r="A14" s="6" t="str">
        <v>休斯顿866</v>
      </c>
      <c r="B14" s="7" t="str">
        <v>US866</v>
      </c>
      <c r="C14" s="8" t="s">
        <v>1</v>
      </c>
      <c r="D14" s="9" t="str">
        <v>美中仓低成本首选，直航休斯顿港口，开船866小时送仓</v>
      </c>
      <c r="E14" s="10" t="str">
        <v>32-37个自然日</v>
      </c>
      <c r="F14" s="9" t="str">
        <v>美中低成本方案</v>
      </c>
    </row>
    <row customHeight="true" ht="32" r="15">
      <c r="A15" s="4" t="str">
        <v>萨凡纳888</v>
      </c>
      <c r="B15" s="5" t="str">
        <v>US888</v>
      </c>
      <c r="C15" s="1" t="s">
        <v>1</v>
      </c>
      <c r="D15" s="2" t="str">
        <v>美南大件仓优选，COSCO/OOCL/EMC直航SAV港口，开船888小时送仓</v>
      </c>
      <c r="E15" s="3" t="str">
        <v>37-47个自然日</v>
      </c>
      <c r="F15" s="2" t="str">
        <v>美南大件仓降本方案</v>
      </c>
    </row>
    <row customHeight="true" ht="36" r="16">
      <c r="A16" s="6" t="str">
        <v>纽约960</v>
      </c>
      <c r="B16" s="7" t="str">
        <v>USE960</v>
      </c>
      <c r="C16" s="8" t="s">
        <v>1</v>
      </c>
      <c r="D16" s="9" t="str">
        <v>美东仓底价福利，COSCO/ZIM直航NY港口，NJ仓拆送，开船960小时送仓，大幅降低卖家美东物流成本</v>
      </c>
      <c r="E16" s="10" t="str">
        <v>40-47个自然日</v>
      </c>
      <c r="F16" s="9" t="str">
        <v>美东降本方案</v>
      </c>
    </row>
    <row customHeight="true" ht="32" r="17">
      <c r="A17" s="4" t="str">
        <v>沃尔玛卡派专线</v>
      </c>
      <c r="B17" s="5" t="str">
        <v>USWRM</v>
      </c>
      <c r="C17" s="1" t="s">
        <v>1</v>
      </c>
      <c r="D17" s="2" t="str">
        <v>专车派送，不同仓点地址做最优选择方案多个渠道选择</v>
      </c>
      <c r="E17" s="3" t="str">
        <v>13-17个自然日</v>
      </c>
      <c r="F17" s="2" t="str">
        <v>沃尔玛发货性价比首选</v>
      </c>
    </row>
    <row customHeight="true" ht="36" r="18">
      <c r="A18" s="6" t="str">
        <v>第三方仓专线</v>
      </c>
      <c r="B18" s="7" t="str">
        <v>USWYT</v>
      </c>
      <c r="C18" s="8" t="s">
        <v>1</v>
      </c>
      <c r="D18" s="9" t="str">
        <v>专车专送，优势卡派资源领先于市场，时效更快，价格更低，稳定性更高，多个渠道可选择</v>
      </c>
      <c r="E18" s="10" t="str">
        <v>13-16个自然日签收</v>
      </c>
      <c r="F18" s="9" t="str">
        <v>第三方仓发货必选</v>
      </c>
    </row>
    <row customHeight="true" ht="32" r="19">
      <c r="A19" s="4" t="str">
        <v>海运快递派</v>
      </c>
      <c r="B19" s="5" t="str">
        <v>USKD</v>
      </c>
      <c r="C19" s="8" t="s">
        <v>1</v>
      </c>
      <c r="D19" s="2" t="str">
        <v>快递派专线渠道</v>
      </c>
      <c r="E19" s="3" t="str">
        <v>12-15自然日提取</v>
      </c>
      <c r="F19" s="2" t="str">
        <v>最快12-15自然日提取</v>
      </c>
    </row>
    <row customHeight="true" ht="33" r="20">
      <c r="A20" s="15" t="str">
        <v>报价表有效期：2026/1/19起</v>
      </c>
      <c r="B20" s="15"/>
      <c r="C20" s="15"/>
      <c r="D20" s="15"/>
      <c r="E20" s="15"/>
      <c r="F20" s="15"/>
    </row>
    <row customHeight="true" ht="24" r="21">
      <c r="A21" s="11" t="str">
        <v>发货前请查看注意事项！</v>
      </c>
      <c r="B21" s="11"/>
      <c r="C21" s="11"/>
      <c r="D21" s="11"/>
      <c r="E21" s="11"/>
      <c r="F21" s="11"/>
    </row>
    <row customHeight="true" ht="24" r="22">
      <c r="A22" s="11" t="str">
        <v>收货流程：通过我司系统下单→贴外箱唛→群上通知收货→核对出货数据→出货后不接受异议【为了正常转运，请及时支付已出账单运费】</v>
      </c>
      <c r="B22" s="11"/>
      <c r="C22" s="11"/>
      <c r="D22" s="11"/>
      <c r="E22" s="11"/>
      <c r="F22" s="11"/>
    </row>
    <row customHeight="true" ht="24" r="23">
      <c r="A23" s="11" t="str">
        <v>我司自助下单系统：http://gzfdgy.nextsls.com/wos</v>
      </c>
      <c r="B23" s="11"/>
      <c r="C23" s="11"/>
      <c r="D23" s="11"/>
      <c r="E23" s="11"/>
      <c r="F23" s="11"/>
    </row>
    <row customHeight="true" ht="24" r="24">
      <c r="A24" s="11" t="str">
        <v>飞点官网：https://freedomscm.com/</v>
      </c>
      <c r="B24" s="11"/>
      <c r="C24" s="11"/>
      <c r="D24" s="11"/>
      <c r="E24" s="11"/>
      <c r="F24" s="11"/>
    </row>
    <row customHeight="true" ht="89" r="25">
      <c r="A25" s="14" t="str">
        <v>公司总部地址：广州市白云区云城南四路239号云图汇1栋505室飞点跨境供应链（商务接待，不收货）
深圳办公室：深圳市龙岗区双子塔东塔45层4503C号飞点跨境供应链（商务接待，不收货）
佛山办公室：佛山市南海区桂城街道招商置地中心1座1020号飞点跨境供应链（商务接待，不收货）
中山办公室：中山市东区博爱路28号远洋广场2幢1605号飞点跨境供应链（商务接待，不收货）
汕头办公室：汕头市澄海区下窖华新路西二巷1号二楼飞点跨境供应链（商务接待，不收货）</v>
      </c>
      <c r="B25" s="14"/>
      <c r="C25" s="14"/>
      <c r="D25" s="14"/>
      <c r="E25" s="14"/>
      <c r="F25" s="14"/>
    </row>
    <row customHeight="true" ht="99" r="26">
      <c r="A26" s="11" t="str">
        <v>广州仓：广州市花都区花东镇启源大道6号5栋一楼整层（飞点跨境供应链）  
金华仓：浙江省金华市金东区金义综合保税区S2仓C区飞点跨境供应链（园区入口：广顺南路与集贤路交汇处）
澄海仓：汕头市澄海区金鸿公路宝奥城内1-117~132号门(飞点跨境供应链)
东莞仓：广东省东莞市凤观路42号孔雀源物流园D栋（飞点跨境供应链）
中山仓：中山市火炬开发区兴业路27号金辉工业园区8号仓（飞点跨境供应链）</v>
      </c>
      <c r="B26" s="11"/>
      <c r="C26" s="11"/>
      <c r="D26" s="11"/>
      <c r="E26" s="11"/>
      <c r="F26" s="11"/>
    </row>
  </sheetData>
  <mergeCells>
    <mergeCell ref="A1:F1"/>
    <mergeCell ref="A20:F20"/>
    <mergeCell ref="A21:F21"/>
    <mergeCell ref="A22:F22"/>
    <mergeCell ref="A23:F23"/>
    <mergeCell ref="A24:F24"/>
    <mergeCell ref="A25:F25"/>
    <mergeCell ref="A26:F26"/>
  </mergeCells>
  <hyperlinks>
    <hyperlink ref="C16" location="'美东普船专线'!A1" display="点击进入"/>
    <hyperlink ref="C3" location="'国际快递'!A1" display="点击进入"/>
    <hyperlink ref="C12" location="'美西普船专线'!A1" display="点击进入"/>
    <hyperlink ref="C17" location="'沃尔玛专线'!A1" display="点击进入"/>
    <hyperlink ref="C18" location="'第三方仓专线'!A1" display="点击进入"/>
    <hyperlink ref="C19" location="'海运快递派'!A1" display="点击进入"/>
    <hyperlink ref="C11" location="'美西普船专线'!A1" display="点击进入"/>
    <hyperlink ref="C9" location="'普船玩具专线'!A1" display="点击进入"/>
    <hyperlink ref="C8" location="'美西快船专线'!A1" display="点击进入"/>
    <hyperlink ref="C14" location="'美中普船专线'!A1" display="点击进入"/>
    <hyperlink ref="C5" location="'美西特快专线'!A1" display="点击进入"/>
    <hyperlink ref="C6" location="'美西特快专线'!A1" display="点击进入"/>
    <hyperlink ref="C13" location="'美中普船专线'!A1" display="点击进入"/>
    <hyperlink ref="C4" location="'美国空运240'!A1" display="点击进入"/>
    <hyperlink ref="C7" location="'美西特快专线'!A1" display="点击进入"/>
    <hyperlink ref="C15" location="'美东普船专线'!A1" display="点击进入"/>
    <hyperlink ref="C10" location="'美西普船专线'!A1" display="点击进入"/>
  </hyperlinks>
  <drawing r:id="rId1"/>
  <picture r:id="rId2"/>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0"/>
    <col collapsed="false" customWidth="true" hidden="false" max="2" min="2" style="0" width="22"/>
    <col collapsed="false" customWidth="true" hidden="false" max="3" min="3" style="0" width="26"/>
    <col collapsed="false" customWidth="true" hidden="false" max="4" min="4" style="0" width="11"/>
    <col collapsed="false" customWidth="true" hidden="false" max="5" min="5" style="0" width="11"/>
    <col collapsed="false" customWidth="true" hidden="false" max="6" min="6" style="0" width="16"/>
    <col collapsed="false" customWidth="true" hidden="false" max="7" min="7" style="0" width="16"/>
    <col collapsed="false" customWidth="true" hidden="false" max="8" min="8" style="0" width="16"/>
    <col collapsed="false" customWidth="true" hidden="false" max="9" min="9" style="0" width="16"/>
    <col collapsed="false" customWidth="true" hidden="false" max="10" min="10" style="0" width="16"/>
    <col collapsed="false" customWidth="true" hidden="false" max="11" min="11" style="0" width="11"/>
    <col collapsed="false" customWidth="true" hidden="false" max="12" min="12" style="0" width="18"/>
    <col collapsed="false" customWidth="true" hidden="false" max="13" min="13" style="0" width="9"/>
    <col collapsed="false" customWidth="true" hidden="false" max="14" min="14" style="0" width="9"/>
    <col collapsed="false" customWidth="true" hidden="false" max="15" min="15" style="0" width="9"/>
    <col collapsed="false" customWidth="true" hidden="false" max="16" min="16" style="0" width="9"/>
    <col collapsed="false" customWidth="true" hidden="false" max="17" min="17" style="0" width="9"/>
    <col collapsed="false" customWidth="true" hidden="false" max="18" min="18" style="0" width="9"/>
    <col collapsed="false" customWidth="true" hidden="false" max="19" min="19" style="0" width="9"/>
    <col collapsed="false" customWidth="true" hidden="false" max="20" min="20" style="0" width="9"/>
  </cols>
  <sheetData>
    <row customHeight="true" ht="147" r="1">
      <c r="A1" s="13"/>
      <c r="B1" s="13"/>
      <c r="C1" s="13"/>
      <c r="D1" s="13"/>
      <c r="E1" s="13"/>
      <c r="F1" s="13"/>
      <c r="G1" s="13"/>
      <c r="H1" s="13"/>
      <c r="I1" s="13"/>
      <c r="J1" s="13"/>
      <c r="K1" s="13"/>
      <c r="L1" s="13"/>
    </row>
    <row customHeight="true" ht="43" r="2">
      <c r="A2" s="27" t="str">
        <v>渠道</v>
      </c>
      <c r="B2" s="27" t="str">
        <v>船司</v>
      </c>
      <c r="C2" s="31" t="str">
        <v>航线</v>
      </c>
      <c r="D2" s="27" t="str">
        <v>出发港</v>
      </c>
      <c r="E2" s="27" t="str">
        <v>目的港</v>
      </c>
      <c r="F2" s="27" t="str">
        <v>截单时间</v>
      </c>
      <c r="G2" s="27"/>
      <c r="H2" s="27"/>
      <c r="I2" s="28" t="str">
        <v>预计
开船时间</v>
      </c>
      <c r="J2" s="28" t="str">
        <v>预计
到港时间</v>
      </c>
      <c r="K2" s="28" t="str">
        <v>航程
(自然日）</v>
      </c>
      <c r="L2" s="28" t="s">
        <v>3</v>
      </c>
    </row>
    <row customHeight="true" ht="43" r="3">
      <c r="A3" s="27"/>
      <c r="B3" s="27"/>
      <c r="C3" s="29"/>
      <c r="D3" s="27"/>
      <c r="E3" s="27"/>
      <c r="F3" s="27" t="str">
        <v>珠三角</v>
      </c>
      <c r="G3" s="27" t="str">
        <v>汕头</v>
      </c>
      <c r="H3" s="27" t="str">
        <v>义乌</v>
      </c>
      <c r="I3" s="27"/>
      <c r="J3" s="27"/>
      <c r="K3" s="28"/>
      <c r="L3" s="28"/>
    </row>
    <row customHeight="true" ht="47" r="4">
      <c r="A4" s="24" t="str">
        <v>美森360</v>
      </c>
      <c r="B4" s="17" t="str">
        <v>MATSON</v>
      </c>
      <c r="C4" s="19" t="str">
        <v>CLX</v>
      </c>
      <c r="D4" s="17" t="str">
        <v>上海港</v>
      </c>
      <c r="E4" s="17" t="str">
        <v>长滩港</v>
      </c>
      <c r="F4" s="16">
        <v>46046</v>
      </c>
      <c r="G4" s="16">
        <v>46046</v>
      </c>
      <c r="H4" s="16">
        <v>46047</v>
      </c>
      <c r="I4" s="16">
        <v>46050</v>
      </c>
      <c r="J4" s="16">
        <v>46061</v>
      </c>
      <c r="K4" s="17">
        <v>11</v>
      </c>
      <c r="L4" s="16">
        <v>46063</v>
      </c>
    </row>
    <row customHeight="true" ht="47" r="5">
      <c r="A5" s="24" t="str">
        <v>美森432</v>
      </c>
      <c r="B5" s="22" t="str">
        <v>MATSON</v>
      </c>
      <c r="C5" s="20" t="str">
        <v>MAX</v>
      </c>
      <c r="D5" s="20" t="str">
        <v>上海港</v>
      </c>
      <c r="E5" s="22" t="str">
        <v>长滩港</v>
      </c>
      <c r="F5" s="21">
        <v>46047</v>
      </c>
      <c r="G5" s="21">
        <v>46047</v>
      </c>
      <c r="H5" s="21">
        <v>46048</v>
      </c>
      <c r="I5" s="21">
        <v>46051</v>
      </c>
      <c r="J5" s="21">
        <v>46062</v>
      </c>
      <c r="K5" s="22">
        <v>11</v>
      </c>
      <c r="L5" s="21">
        <v>46064</v>
      </c>
    </row>
    <row customHeight="true" ht="47" r="6">
      <c r="A6" s="24" t="str">
        <v>EX456</v>
      </c>
      <c r="B6" s="17" t="str">
        <v>ZIM/HEDE</v>
      </c>
      <c r="C6" s="19" t="str">
        <v>ZEX/2601E</v>
      </c>
      <c r="D6" s="19" t="str">
        <v>盐田港/南沙港</v>
      </c>
      <c r="E6" s="17" t="str">
        <v>洛杉矶港</v>
      </c>
      <c r="F6" s="16">
        <v>46047</v>
      </c>
      <c r="G6" s="16">
        <v>46046</v>
      </c>
      <c r="H6" s="16">
        <v>46046</v>
      </c>
      <c r="I6" s="16">
        <v>46050</v>
      </c>
      <c r="J6" s="16">
        <v>46064</v>
      </c>
      <c r="K6" s="17">
        <v>14</v>
      </c>
      <c r="L6" s="16">
        <v>46067</v>
      </c>
    </row>
    <row customHeight="true" ht="47" r="7">
      <c r="A7" s="23" t="str">
        <v>快船600</v>
      </c>
      <c r="B7" s="22" t="str">
        <v>COSCO</v>
      </c>
      <c r="C7" s="20" t="str">
        <v>SEA/SEA3</v>
      </c>
      <c r="D7" s="20" t="str">
        <v>盐田港</v>
      </c>
      <c r="E7" s="22" t="str">
        <v>长滩港</v>
      </c>
      <c r="F7" s="21">
        <v>46045</v>
      </c>
      <c r="G7" s="21">
        <v>46044</v>
      </c>
      <c r="H7" s="21">
        <v>46044</v>
      </c>
      <c r="I7" s="21">
        <v>46051</v>
      </c>
      <c r="J7" s="21">
        <v>46068</v>
      </c>
      <c r="K7" s="22">
        <v>17</v>
      </c>
      <c r="L7" s="21">
        <v>46074</v>
      </c>
    </row>
    <row customHeight="true" ht="47" r="8">
      <c r="A8" s="25"/>
      <c r="B8" s="17" t="str">
        <v>COSCO</v>
      </c>
      <c r="C8" s="19" t="str">
        <v>SEA</v>
      </c>
      <c r="D8" s="17" t="str">
        <v>南沙港</v>
      </c>
      <c r="E8" s="17" t="str">
        <v>长滩港</v>
      </c>
      <c r="F8" s="16">
        <v>46047</v>
      </c>
      <c r="G8" s="16">
        <v>46046</v>
      </c>
      <c r="H8" s="16">
        <v>46046</v>
      </c>
      <c r="I8" s="16">
        <v>46056</v>
      </c>
      <c r="J8" s="16">
        <v>46074</v>
      </c>
      <c r="K8" s="17">
        <v>18</v>
      </c>
      <c r="L8" s="16">
        <v>46081</v>
      </c>
    </row>
    <row customHeight="true" ht="47" r="9">
      <c r="A9" s="18"/>
      <c r="B9" s="22" t="str">
        <v>COSCO</v>
      </c>
      <c r="C9" s="20" t="str">
        <v>AAC/AAC2</v>
      </c>
      <c r="D9" s="20" t="str">
        <v>宁波港</v>
      </c>
      <c r="E9" s="22" t="str">
        <v>长滩港</v>
      </c>
      <c r="F9" s="21">
        <v>46046</v>
      </c>
      <c r="G9" s="21">
        <v>46046</v>
      </c>
      <c r="H9" s="21">
        <v>46047</v>
      </c>
      <c r="I9" s="21">
        <v>46056</v>
      </c>
      <c r="J9" s="21">
        <v>46070</v>
      </c>
      <c r="K9" s="22">
        <v>14</v>
      </c>
      <c r="L9" s="21">
        <v>46077</v>
      </c>
    </row>
    <row customHeight="true" ht="47" r="10">
      <c r="A10" s="24" t="str">
        <v>TY720</v>
      </c>
      <c r="B10" s="17" t="str">
        <v>COSCO</v>
      </c>
      <c r="C10" s="19" t="str">
        <v>SEA/SEA3</v>
      </c>
      <c r="D10" s="17" t="str">
        <v>盐田港</v>
      </c>
      <c r="E10" s="17" t="str">
        <v>洛杉矶港</v>
      </c>
      <c r="F10" s="16">
        <v>46045</v>
      </c>
      <c r="G10" s="16">
        <v>46044</v>
      </c>
      <c r="H10" s="16">
        <v>46044</v>
      </c>
      <c r="I10" s="16">
        <v>46051</v>
      </c>
      <c r="J10" s="16">
        <v>46068</v>
      </c>
      <c r="K10" s="17">
        <v>17</v>
      </c>
      <c r="L10" s="16">
        <v>46075</v>
      </c>
    </row>
    <row customHeight="true" ht="50" r="11">
      <c r="A11" s="24"/>
      <c r="B11" s="22" t="str">
        <v>COSCO</v>
      </c>
      <c r="C11" s="20" t="str">
        <v>AAC/AAC2</v>
      </c>
      <c r="D11" s="20" t="str">
        <v>宁波港</v>
      </c>
      <c r="E11" s="22" t="str">
        <v>洛杉矶港</v>
      </c>
      <c r="F11" s="21">
        <v>46046</v>
      </c>
      <c r="G11" s="21">
        <v>46046</v>
      </c>
      <c r="H11" s="21">
        <v>46047</v>
      </c>
      <c r="I11" s="21">
        <v>46056</v>
      </c>
      <c r="J11" s="21">
        <v>46070</v>
      </c>
      <c r="K11" s="22">
        <v>14</v>
      </c>
      <c r="L11" s="21">
        <v>46077</v>
      </c>
    </row>
    <row customHeight="true" ht="47" r="12">
      <c r="A12" s="24" t="str">
        <v>奥克兰744</v>
      </c>
      <c r="B12" s="17" t="str">
        <v>EMC</v>
      </c>
      <c r="C12" s="19" t="str">
        <v>AAS3</v>
      </c>
      <c r="D12" s="17" t="str">
        <v>盐田港</v>
      </c>
      <c r="E12" s="17" t="str">
        <v>奥克兰港</v>
      </c>
      <c r="F12" s="16">
        <v>46047</v>
      </c>
      <c r="G12" s="16">
        <v>46046</v>
      </c>
      <c r="H12" s="16">
        <v>46046</v>
      </c>
      <c r="I12" s="16">
        <v>46062</v>
      </c>
      <c r="J12" s="16">
        <v>46081</v>
      </c>
      <c r="K12" s="17">
        <v>19</v>
      </c>
      <c r="L12" s="16">
        <v>46088</v>
      </c>
    </row>
    <row customHeight="true" ht="50" r="13">
      <c r="A13" s="24"/>
      <c r="B13" s="22" t="str">
        <v>EMC</v>
      </c>
      <c r="C13" s="20" t="str">
        <v>AAC2</v>
      </c>
      <c r="D13" s="20" t="str">
        <v>宁波港</v>
      </c>
      <c r="E13" s="22" t="str">
        <v>奥克兰港</v>
      </c>
      <c r="F13" s="21">
        <v>46046</v>
      </c>
      <c r="G13" s="21">
        <v>46046</v>
      </c>
      <c r="H13" s="21">
        <v>46047</v>
      </c>
      <c r="I13" s="21">
        <v>46056</v>
      </c>
      <c r="J13" s="21">
        <v>46079</v>
      </c>
      <c r="K13" s="22">
        <v>23</v>
      </c>
      <c r="L13" s="21">
        <v>46086</v>
      </c>
    </row>
    <row customHeight="true" ht="47" r="14">
      <c r="A14" s="23" t="str">
        <v>洛杉矶768</v>
      </c>
      <c r="B14" s="17" t="str">
        <v>COSCO/YML</v>
      </c>
      <c r="C14" s="19" t="str">
        <v>SEA/PS7</v>
      </c>
      <c r="D14" s="17" t="str">
        <v>南沙港</v>
      </c>
      <c r="E14" s="17" t="str">
        <v>长滩港</v>
      </c>
      <c r="F14" s="16">
        <v>46047</v>
      </c>
      <c r="G14" s="16">
        <v>46046</v>
      </c>
      <c r="H14" s="16">
        <v>46046</v>
      </c>
      <c r="I14" s="16">
        <v>46063</v>
      </c>
      <c r="J14" s="16">
        <v>46080</v>
      </c>
      <c r="K14" s="17">
        <v>17</v>
      </c>
      <c r="L14" s="16">
        <v>46087</v>
      </c>
    </row>
    <row customHeight="true" ht="47" r="15">
      <c r="A15" s="25"/>
      <c r="B15" s="22" t="str">
        <v>COSCO/YML</v>
      </c>
      <c r="C15" s="20" t="str">
        <v>SEA/PS3</v>
      </c>
      <c r="D15" s="20" t="str">
        <v>盐田港</v>
      </c>
      <c r="E15" s="22" t="str">
        <v>长滩港</v>
      </c>
      <c r="F15" s="21">
        <v>46047</v>
      </c>
      <c r="G15" s="21">
        <v>46046</v>
      </c>
      <c r="H15" s="21">
        <v>46046</v>
      </c>
      <c r="I15" s="21">
        <v>46058</v>
      </c>
      <c r="J15" s="21">
        <v>46074</v>
      </c>
      <c r="K15" s="22">
        <v>16</v>
      </c>
      <c r="L15" s="21">
        <v>46081</v>
      </c>
    </row>
    <row customHeight="true" ht="47" r="16">
      <c r="A16" s="18"/>
      <c r="B16" s="17" t="str">
        <v>COSCO/YML</v>
      </c>
      <c r="C16" s="19" t="str">
        <v>AAC/AAC4/PS5</v>
      </c>
      <c r="D16" s="17" t="str">
        <v>宁波港</v>
      </c>
      <c r="E16" s="17" t="str">
        <v>长滩港</v>
      </c>
      <c r="F16" s="16">
        <v>46046</v>
      </c>
      <c r="G16" s="16">
        <v>46046</v>
      </c>
      <c r="H16" s="16">
        <v>46047</v>
      </c>
      <c r="I16" s="16">
        <v>46063</v>
      </c>
      <c r="J16" s="16">
        <v>46077</v>
      </c>
      <c r="K16" s="17">
        <v>14</v>
      </c>
      <c r="L16" s="16">
        <v>46084</v>
      </c>
    </row>
    <row customHeight="true" ht="47" r="17">
      <c r="A17" s="23" t="str">
        <v>西雅图788</v>
      </c>
      <c r="B17" s="22" t="str">
        <v>COSCO</v>
      </c>
      <c r="C17" s="20" t="str">
        <v>MPNM</v>
      </c>
      <c r="D17" s="20" t="str">
        <v>盐田港</v>
      </c>
      <c r="E17" s="22" t="str">
        <v>西雅图港</v>
      </c>
      <c r="F17" s="21">
        <v>46047</v>
      </c>
      <c r="G17" s="21">
        <v>46046</v>
      </c>
      <c r="H17" s="21">
        <v>46046</v>
      </c>
      <c r="I17" s="21">
        <v>46069</v>
      </c>
      <c r="J17" s="21">
        <v>46097</v>
      </c>
      <c r="K17" s="22">
        <v>28</v>
      </c>
      <c r="L17" s="21">
        <v>46104</v>
      </c>
    </row>
    <row customHeight="true" ht="47" r="18">
      <c r="A18" s="18"/>
      <c r="B18" s="17" t="str">
        <v>COSCO</v>
      </c>
      <c r="C18" s="19" t="str">
        <v>MPNM</v>
      </c>
      <c r="D18" s="17" t="str">
        <v>宁波港</v>
      </c>
      <c r="E18" s="17" t="str">
        <v>西雅图港</v>
      </c>
      <c r="F18" s="16">
        <v>46046</v>
      </c>
      <c r="G18" s="16">
        <v>46046</v>
      </c>
      <c r="H18" s="16">
        <v>46047</v>
      </c>
      <c r="I18" s="16">
        <v>46074</v>
      </c>
      <c r="J18" s="16">
        <v>46097</v>
      </c>
      <c r="K18" s="17">
        <v>23</v>
      </c>
      <c r="L18" s="16">
        <v>46104</v>
      </c>
    </row>
    <row customHeight="true" ht="47" r="19">
      <c r="A19" s="23" t="str">
        <v>芝加哥840</v>
      </c>
      <c r="B19" s="22" t="str">
        <v>COSCO</v>
      </c>
      <c r="C19" s="20" t="str">
        <v>SEA/SEA3</v>
      </c>
      <c r="D19" s="20" t="str">
        <v>盐田港</v>
      </c>
      <c r="E19" s="22" t="str">
        <v>芝加哥</v>
      </c>
      <c r="F19" s="21">
        <v>46046</v>
      </c>
      <c r="G19" s="21">
        <v>46045</v>
      </c>
      <c r="H19" s="21">
        <v>46045</v>
      </c>
      <c r="I19" s="21">
        <v>46056</v>
      </c>
      <c r="J19" s="21">
        <v>46085</v>
      </c>
      <c r="K19" s="22">
        <v>29</v>
      </c>
      <c r="L19" s="21">
        <v>46092</v>
      </c>
    </row>
    <row customHeight="true" ht="47" r="20">
      <c r="A20" s="18"/>
      <c r="B20" s="17" t="str">
        <v>COSCO/EMC</v>
      </c>
      <c r="C20" s="19" t="str">
        <v>AAC2</v>
      </c>
      <c r="D20" s="17" t="str">
        <v>宁波港</v>
      </c>
      <c r="E20" s="17" t="str">
        <v>芝加哥</v>
      </c>
      <c r="F20" s="16">
        <v>46045</v>
      </c>
      <c r="G20" s="16">
        <v>46045</v>
      </c>
      <c r="H20" s="16">
        <v>46046</v>
      </c>
      <c r="I20" s="16">
        <v>46056</v>
      </c>
      <c r="J20" s="16">
        <v>46084</v>
      </c>
      <c r="K20" s="17">
        <v>28</v>
      </c>
      <c r="L20" s="16">
        <v>46091</v>
      </c>
    </row>
    <row customHeight="true" ht="47" r="21">
      <c r="A21" s="23" t="str">
        <v>休斯顿866</v>
      </c>
      <c r="B21" s="22" t="str">
        <v>COSCO</v>
      </c>
      <c r="C21" s="20" t="str">
        <v>GME</v>
      </c>
      <c r="D21" s="20" t="str">
        <v>盐田港</v>
      </c>
      <c r="E21" s="22" t="str">
        <v>休斯顿港</v>
      </c>
      <c r="F21" s="21">
        <v>46047</v>
      </c>
      <c r="G21" s="21">
        <v>46046</v>
      </c>
      <c r="H21" s="21">
        <v>46046</v>
      </c>
      <c r="I21" s="21">
        <v>46055</v>
      </c>
      <c r="J21" s="21">
        <v>46080</v>
      </c>
      <c r="K21" s="22">
        <v>25</v>
      </c>
      <c r="L21" s="21">
        <v>46087</v>
      </c>
    </row>
    <row customHeight="true" ht="47" r="22">
      <c r="A22" s="18"/>
      <c r="B22" s="17" t="str">
        <v>COSCO</v>
      </c>
      <c r="C22" s="19" t="str">
        <v>GME</v>
      </c>
      <c r="D22" s="17" t="str">
        <v>宁波港</v>
      </c>
      <c r="E22" s="17" t="str">
        <v>休斯顿港</v>
      </c>
      <c r="F22" s="16">
        <v>46046</v>
      </c>
      <c r="G22" s="16">
        <v>46046</v>
      </c>
      <c r="H22" s="16">
        <v>46047</v>
      </c>
      <c r="I22" s="16">
        <v>46057</v>
      </c>
      <c r="J22" s="16">
        <v>46087</v>
      </c>
      <c r="K22" s="17">
        <v>30</v>
      </c>
      <c r="L22" s="16">
        <v>46094</v>
      </c>
    </row>
    <row customHeight="true" ht="47" r="23">
      <c r="A23" s="23" t="str">
        <v>萨凡纳888</v>
      </c>
      <c r="B23" s="22" t="str">
        <v>COSCO/EMC</v>
      </c>
      <c r="C23" s="20" t="str">
        <v>AWE3/AWE4</v>
      </c>
      <c r="D23" s="20" t="str">
        <v>盐田港</v>
      </c>
      <c r="E23" s="22" t="str">
        <v>萨凡纳港</v>
      </c>
      <c r="F23" s="21">
        <v>46047</v>
      </c>
      <c r="G23" s="21">
        <v>46046</v>
      </c>
      <c r="H23" s="21">
        <v>46046</v>
      </c>
      <c r="I23" s="21">
        <v>46055</v>
      </c>
      <c r="J23" s="21">
        <v>46086</v>
      </c>
      <c r="K23" s="22">
        <v>31</v>
      </c>
      <c r="L23" s="21">
        <v>46093</v>
      </c>
    </row>
    <row customHeight="true" ht="47" r="24">
      <c r="A24" s="25"/>
      <c r="B24" s="17" t="str">
        <v>COSCO/EMC</v>
      </c>
      <c r="C24" s="19" t="str">
        <v>AWE2/AWE1</v>
      </c>
      <c r="D24" s="17" t="str">
        <v>宁波港</v>
      </c>
      <c r="E24" s="17" t="str">
        <v>萨凡纳港</v>
      </c>
      <c r="F24" s="16">
        <v>46046</v>
      </c>
      <c r="G24" s="16">
        <v>46046</v>
      </c>
      <c r="H24" s="16">
        <v>46047</v>
      </c>
      <c r="I24" s="16">
        <v>46058</v>
      </c>
      <c r="J24" s="16">
        <v>46087</v>
      </c>
      <c r="K24" s="17">
        <v>29</v>
      </c>
      <c r="L24" s="16">
        <v>46094</v>
      </c>
    </row>
    <row customHeight="true" ht="47" r="25">
      <c r="A25" s="23" t="str">
        <v>纽约960</v>
      </c>
      <c r="B25" s="22" t="str">
        <v>COSCO/EMC</v>
      </c>
      <c r="C25" s="20" t="str">
        <v>AWE3/AWE4</v>
      </c>
      <c r="D25" s="20" t="str">
        <v>盐田港</v>
      </c>
      <c r="E25" s="22" t="str">
        <v>纽约港</v>
      </c>
      <c r="F25" s="21">
        <v>46047</v>
      </c>
      <c r="G25" s="21">
        <v>46046</v>
      </c>
      <c r="H25" s="21">
        <v>46046</v>
      </c>
      <c r="I25" s="21">
        <v>46054</v>
      </c>
      <c r="J25" s="21">
        <v>46087</v>
      </c>
      <c r="K25" s="22">
        <v>33</v>
      </c>
      <c r="L25" s="21">
        <v>46094</v>
      </c>
    </row>
    <row customHeight="true" ht="47" r="26">
      <c r="A26" s="25"/>
      <c r="B26" s="17" t="str">
        <v>COSCO/EMC</v>
      </c>
      <c r="C26" s="19" t="str">
        <v>AWE2/AWE1</v>
      </c>
      <c r="D26" s="17" t="str">
        <v>宁波港</v>
      </c>
      <c r="E26" s="17" t="str">
        <v>纽约港</v>
      </c>
      <c r="F26" s="16">
        <v>46046</v>
      </c>
      <c r="G26" s="16">
        <v>46046</v>
      </c>
      <c r="H26" s="16">
        <v>46047</v>
      </c>
      <c r="I26" s="16">
        <v>46065</v>
      </c>
      <c r="J26" s="16">
        <v>46096</v>
      </c>
      <c r="K26" s="17">
        <v>31</v>
      </c>
      <c r="L26" s="16">
        <v>46103</v>
      </c>
    </row>
    <row customHeight="true" ht="26" r="27">
      <c r="A27" s="30" t="s">
        <v>2</v>
      </c>
      <c r="B27" s="30"/>
      <c r="C27" s="30"/>
      <c r="D27" s="30"/>
      <c r="E27" s="30"/>
      <c r="F27" s="30"/>
      <c r="G27" s="30"/>
      <c r="H27" s="30"/>
      <c r="I27" s="30"/>
      <c r="J27" s="30"/>
      <c r="K27" s="30"/>
      <c r="L27" s="30"/>
    </row>
    <row customHeight="true" ht="40" r="28">
      <c r="A28" s="26" t="str">
        <v>用 心 承 载 每 一 份 托 付</v>
      </c>
      <c r="B28" s="26"/>
      <c r="C28" s="26"/>
      <c r="D28" s="26"/>
      <c r="E28" s="26"/>
      <c r="F28" s="26"/>
      <c r="G28" s="26"/>
      <c r="H28" s="26"/>
      <c r="I28" s="26"/>
      <c r="J28" s="26"/>
      <c r="K28" s="26"/>
      <c r="L28" s="26"/>
    </row>
  </sheetData>
  <mergeCells>
    <mergeCell ref="F2:H2"/>
    <mergeCell ref="A27:L27"/>
    <mergeCell ref="A28:L28"/>
    <mergeCell ref="A2:A3"/>
    <mergeCell ref="A7:A9"/>
    <mergeCell ref="A10:A11"/>
    <mergeCell ref="A12:A13"/>
    <mergeCell ref="A14:A16"/>
    <mergeCell ref="A17:A18"/>
    <mergeCell ref="A19:A20"/>
    <mergeCell ref="A21:A22"/>
    <mergeCell ref="A23:A24"/>
    <mergeCell ref="A25:A26"/>
    <mergeCell ref="B2:B3"/>
    <mergeCell ref="C2:C3"/>
    <mergeCell ref="D2:D3"/>
    <mergeCell ref="E2:E3"/>
    <mergeCell ref="I2:I3"/>
    <mergeCell ref="J2:J3"/>
    <mergeCell ref="K2:K3"/>
    <mergeCell ref="L2:L3"/>
  </mergeCells>
  <drawing r:id="rId1"/>
  <picture r:id="rId2"/>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ColWidth="14" defaultRowHeight="19"/>
  <cols>
    <col collapsed="false" customWidth="true" hidden="false" max="1" min="1" style="0" width="3"/>
    <col collapsed="false" customWidth="true" hidden="false" max="2" min="2" style="0" width="153"/>
    <col collapsed="false" customWidth="true" hidden="false" max="3" min="3" style="0" width="10"/>
    <col collapsed="false" customWidth="true" hidden="false" max="4" min="4" style="0" width="10"/>
    <col collapsed="false" customWidth="true" hidden="false" max="5" min="5" style="0" width="10"/>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8" r="1"/>
    <row customHeight="true" ht="44" r="2">
      <c r="B2" s="45" t="str">
        <v>发货前须知</v>
      </c>
    </row>
    <row customHeight="true" ht="33" r="3">
      <c r="B3" s="46" t="str">
        <v>如确认在我司发货，即认可我司条款</v>
      </c>
    </row>
    <row customHeight="true" ht="59" r="4">
      <c r="B4" s="47" t="str">
        <v>为了准确快捷入库，发货前尽量配合贴好入仓标签/FBA标签/SKU标签等，因未贴标签或未及时告知导致仓库未能及时入库延误船期的我司概不负责！国内贴标费1元/张</v>
      </c>
    </row>
    <row customHeight="true" ht="59" r="5">
      <c r="B5" s="40" t="str">
        <v>国内段运输发票与报关费发票所示价格均不含税，如需开具发票，请提前跟我司客服咨询税点信息。</v>
      </c>
    </row>
    <row customHeight="true" ht="87" r="6">
      <c r="B6" s="42" t="str">
        <v>自2025年5月12日起
符合美国清关第232条款的钢铁制品、铝制品关税附加费加收0.5元/KG；</v>
      </c>
    </row>
    <row customHeight="true" ht="33" r="7">
      <c r="B7" s="36" t="str">
        <v>1、所有货物，内包装，及外包装必须有产地标识“MADE IN CHINA”否则我司拒收，软包装如产品破损，或丢失不予理赔</v>
      </c>
    </row>
    <row customHeight="true" ht="42" r="8">
      <c r="B8" s="36" t="str">
        <v>2、有申报不符、带电、带磁、带电机产品，违禁品，敏感品，未向我司如实申报，瞒报，少报，导致整批货物延误，
此情况极其恶劣，此类货物未申报/申报不符视为冲货，我司将追究其责任，并罚款5000RMB以上。</v>
      </c>
    </row>
    <row customHeight="true" ht="46" r="9">
      <c r="B9" s="32" t="str">
        <v>3、出货后若有拦截件情况，免仓期7天，超免仓期后未操作需要预收一个月仓储费，若超一个月继续存仓则需要继续再预收下一个月仓储费，以此类推。仓储费：30天内：1美金/方/天；30天-60天内：2美金/天/方；60天-90天3美金/方/天，90天以上：5美金/方/天，不足1方按1方计算。</v>
      </c>
    </row>
    <row customHeight="true" ht="32" r="10">
      <c r="B10" s="35" t="str">
        <v>索赔流程</v>
      </c>
    </row>
    <row customHeight="true" ht="24" r="11">
      <c r="B11" s="36" t="str">
        <v>一、索赔标准（签订合同）</v>
      </c>
    </row>
    <row customHeight="true" ht="110" r="12">
      <c r="B12" s="38" t="str">
        <v>货物在国外（境外）未提取派送前和货物提取派送后丢失、短少、污染、损坏的赔偿方案，赔偿标准：
1）丢件赔偿：海运，海外仓，未提取上网经核实丢件，按照采购价值进行赔偿，赔偿最高为3倍运费且不退运费。
2）空派未提取上网经核实丢件，按照采购价值进行赔偿，赔偿最高为1.5倍运费且不退运费。
3）空派、海派已上网提取丢件，按采购价值赔偿最高不超过100美金/票。（非整箱丢失，内装物品短少，不予赔偿。）
4）头程国际快递丢件赔偿，可协助向快递官方索赔，按官方赔偿金额赔偿。                                                                      
5）、高货值产品，如客户另外要求亦可自购保险,请发货前仔细阅读,否则视为同意此规定.</v>
      </c>
    </row>
    <row customHeight="true" ht="193" r="13">
      <c r="B13" s="36" t="str">
        <v>二、索赔标准（未签订合同）
赔偿方案:（选择此渠道发货表示默认我司的赔偿标准）
1）、在国际运输过程中如货物丢失或者扣关（如因侵权问题，我司不承担任何责任并且保留追究发件人因此带来对我司的损失的赔偿）按海运RMB20/KG赔偿，空运RMB20/KG赔偿，不退运费.
2）、提取后丢失或其他问题，协助跟服务商申请索赔，不承诺索赔成功。索赔受理期限为自入库起 30 个自然日内，逾期不予受理。按申报价值赔偿(最高不超（100USD/票);入亚马逊仓的货物网上显示未签收的需提供后台数据方可开查。                                                                                                                                                                                                                                                                                                                      
3）、同一航次一票货部份提取,剩下部份超过30个工作日未提取可直接申请赔偿.如遇自然灾害以及不可抗因素，本公司将不做任何赔偿！
如客户另外要求亦可自购保险,请发货前仔细阅读,否则视为同意此规定.
4）、一票多件的货物只要有其中部分有UPS/FEDEX提取信息,其他子单未更新的都属于UPS/FEDEX更新取件问题，不计入提取延误赔偿。                    
 5）、高货值产品，如客户另外要求亦可自购保险,请发货前仔细阅读,否则视为同意此规定.</v>
      </c>
    </row>
    <row customHeight="true" ht="24" r="14">
      <c r="B14" s="36" t="str">
        <v>三、特别申明以下情况不受理赔偿：</v>
      </c>
    </row>
    <row customHeight="true" ht="42" r="15">
      <c r="B15" s="38" t="str">
        <v>1、如因侵权问题，我司不承担任何责任并且保留追究发件人因此带来对我司的损失的赔偿；</v>
      </c>
    </row>
    <row customHeight="true" ht="42" r="16">
      <c r="B16" s="38" t="str">
        <v>2、如货物没有按照实际价值申报、侵犯知识产权、当地禁止进口等产品原因而导致的海关扣货；</v>
      </c>
    </row>
    <row customHeight="true" ht="42" r="17">
      <c r="B17" s="38" t="str">
        <v>3、如因客户货物本身质量问题以及涉及到具体的认证问题等，均不受理赔偿；</v>
      </c>
    </row>
    <row customHeight="true" ht="42" r="18">
      <c r="B18" s="38" t="str">
        <v>4、如遇战争，自然灾害等不可抗力因素除导致货物破坏或灭失，不受理赔偿；</v>
      </c>
    </row>
    <row customHeight="true" ht="42" r="19">
      <c r="B19" s="38" t="str">
        <v>5、在运输过程中如遇到航班延误/清关延误等引起的总体时效延误，均不受理赔偿。</v>
      </c>
    </row>
    <row customHeight="true" ht="24" r="20">
      <c r="B20" s="38" t="s">
        <v>5</v>
      </c>
    </row>
    <row customHeight="true" ht="30" r="21">
      <c r="B21" s="38" t="s">
        <v>4</v>
      </c>
    </row>
    <row customHeight="true" ht="33" r="22">
      <c r="B22" s="35" t="str">
        <v>反倾销产品参考列表</v>
      </c>
    </row>
    <row customHeight="true" ht="25" r="23">
      <c r="B23" s="44" t="str">
        <v>1、贱金属及其制品——钢钉、钢管、碳合金钢丝条、金属硅、金刚石锯片、不锈钢加压管、定尺碳素钢板、石油专用管材、冷轴碳钢、薄壁矩形钢管、熨衣架及
部件、螺纹钢筋、弹簧垫圈、非封闭内置弹簧部件、不锈钢拉制深水槽、冷轧钢板、无缝碳钢和合金钢标准管、管线管和压力管、圆锥滚子轴承、铸铁件、金属
镁、镀锌板、重锻造手动工具（斧子、撬杠、锤子、镐头）、钢制高压气瓶
2、化学产品——己内酰胺（又称碳酸锂）、聚对苯二甲酸乙二酯膜片和条、聚乙烯醇、高锰酸钾、三聚氰胺、天然猪鬃油漆刷及刷头
3、杂项制品——木制卧室家具、复合木地板、非晶硅织物、晶体硅光伏电池、小直径石墨电极
4、机械电气设备及部件——滚球轴承、汽车挡风玻璃、刹车鼓与刹车转子、轮胎
5、纸及纸制品——铜版纸、格记录纸、薄绵纸、折叠礼品盒、皱纹纸、无涂层纸
6、纺织制品——聚酯人造纤维、画布、编织电热毯
7、预制食品与饮料——淹渍蘑菇罐头、柠檬酸与柠檬酸盐、华糖醇、冷冻的和罐装的暖水虾
8、塑料与橡胶制品——复合编织袋、聚乙烯手提袋、新充气工程机械轮胎
9、矿石及矿物燃料——钻石锯条及部件
10、家用电器——彩色电视机、家用大型洗衣机
11、车船运输设备及部件——-自行车、手推车
12、建材与玻璃制品——铝型材、双轴土工格栅、镁碳砖
13、蔬菜产品——蜂蜜
未注明产品请向工作人员核实</v>
      </c>
    </row>
    <row customHeight="true" ht="25" r="24">
      <c r="B24" s="33"/>
    </row>
    <row customHeight="true" ht="25" r="25">
      <c r="B25" s="33"/>
    </row>
    <row customHeight="true" ht="25" r="26">
      <c r="B26" s="33"/>
    </row>
    <row customHeight="true" ht="25" r="27">
      <c r="B27" s="33"/>
    </row>
    <row customHeight="true" ht="25" r="28">
      <c r="B28" s="33"/>
    </row>
    <row customHeight="true" ht="25" r="29">
      <c r="B29" s="33"/>
    </row>
    <row customHeight="true" ht="25" r="30">
      <c r="B30" s="33"/>
    </row>
    <row customHeight="true" ht="25" r="31">
      <c r="B31" s="33"/>
    </row>
    <row customHeight="true" ht="25" r="32">
      <c r="B32" s="33"/>
    </row>
    <row customHeight="true" ht="38" r="33">
      <c r="B33" s="33"/>
    </row>
    <row customHeight="true" ht="24" r="34">
      <c r="B34" s="39" t="str">
        <v>商标和认证</v>
      </c>
    </row>
    <row customHeight="true" ht="19" r="35">
      <c r="B35" s="38" t="str">
        <v>美国海关认定货物是品牌货物或者如CE、UL认证、CPC、蓝牙、HDMI/FDA/FCC/LACEY ACT/DOT( 不限于以上列举）等等认证得货物或者不符合美国进口要求的货物，发件人应于发货前提供相应授权书或者认证报告， 如未提供导致货物扣关甚至退运而产生额外费用，由发件人承担。（提供报告或者授权，海关认定报告或授权予实物不符或者是虚假，不合格，导致货物扣关甚至退运而产生额外费用，由发件人承担）</v>
      </c>
    </row>
    <row customHeight="true" ht="19" r="36">
      <c r="B36" s="33"/>
    </row>
    <row customHeight="true" ht="19" r="37">
      <c r="B37" s="33"/>
    </row>
    <row customHeight="true" ht="24" r="38">
      <c r="B38" s="38" t="str">
        <v>1、P.O.BOX,阿拉斯加,夏威夷,波多黎各,关岛,军方地址不收。                                                                                                                                                                                  
如果地址错误产生UPS改地址和扣件费用，将按每件100RMB收取；如收件方在UPS远程服务范围，将被加收偏远费用，标准为+4RMB/KG、最低消费200RMB/票，欲知您所发货物目的地是否属偏远地区请上UPS网查询,我司出货时不另行通知，以UPS帐单产生为准,6个月补收有效！暂扣件及改派地址业务，我司不承诺百分百成功，如有此问题我司不承担任何赔偿。
2、涉及到FDA&amp;DOT认证产品，请单独确认！ 
3、如派送中收件方或寄件方要求或者错误地址无法投递导致退件,我司只接受货件退回我司美国仓库并免费保存货物7天,超出7天的按人民币5RMB/件/天计费,最低消10RMB/票;退件过程产生的费用,我司将向发件方收取；如有退回货物要求重发的快件我们将按照12RMB/KG的运费结算并加收50RMB/件操作费。
4、如亚马逊仓库因包装问题或其他问题产生拒收等原因，我司不承担任何责任，我司不再对包装做任何审核。
5、不接仿牌,反倾销,冒牌,侵权,纯电池,危险品,液体,和木箱/铁箱等包装难以打开检查的货物,不收不规则货物，非纸箱货物。如发现冲货没收货物且通知相关执法部门并处罚金1000RMB/票；</v>
      </c>
    </row>
    <row customHeight="true" ht="24" r="39">
      <c r="B39" s="33"/>
    </row>
    <row customHeight="true" ht="24" r="40">
      <c r="B40" s="33"/>
    </row>
    <row customHeight="true" ht="24" r="41">
      <c r="B41" s="33"/>
    </row>
    <row customHeight="true" ht="24" r="42">
      <c r="B42" s="33"/>
    </row>
    <row customHeight="true" ht="76" r="43">
      <c r="B43" s="37"/>
    </row>
    <row customHeight="true" ht="24" r="44">
      <c r="B44" s="39" t="str">
        <v>各快递操作说明</v>
      </c>
    </row>
    <row customHeight="true" ht="42" r="45">
      <c r="B45" s="48" t="str" xml:space="preserve">
        <v>DHL 操作要求及附加费相关规定 
 一、DHL标准附加费及相关规定 
 1.燃油附加费：报价不含燃油附加费，每月依DHL官方网上公布为准！ 
 2.偏远附加费：计HKD3.6/KG*燃油，最低收费 HKD180/票*燃油；（如地址属偏远，可根据邮编向DHL查证，或者在我司交货前。叫操作人员帮忙查询） 
 3.DHL特惠价单件超过70kg（包含70kg），或者单边超过120CM(包含120CM),须加收250元*燃油； 
 4.单件货物超70KG以上需打9CM卡板脚，木箱费用加收50元/件。 
 5.若派送地址有误，DHL將会收取地址更正附加費，100元/票。 
 6.报价不含目的地海关关税、海关罚款、仓储费以及收件人不配合所引起的退件费,如收件人拒付将自动更改为发货公司（人）支付,并直接计入结算单内. 
 7.赔偿办法按丢失部分的运费两倍,最高赔偿：包裹USD:100/票,文件USD:30/票；同时敝司不承担国际快件因航班舱位延误或海关问题.所导致的一切责任及费用；如需索赔，请于发货日起30天内向敝司发出书面申请，否则敝司有权不予受理. 
 8.客户交货时须提供商业发票,否则视同授权我司代为申报,如因申报原因发生扣关或延误,敝司概不承担相关责任及费用. 
 9.若货物属于仿牌或法规禁止出口的，一旦被海关查获.扣留。敝司将不负一切责任. 
 10.敝司将按市场情况对以上价格作不定期调整; 
 11.拒收任何仿牌、冒牌货物及违禁品。一经发现，没收货物、不退还运费，且罚款200元/件. 
 12.关税预付需收取押金。DHL账单实报实销，并加收120元手续费。 
 特别提示：如客人一旦同意接受敝司服务，敝司将自动认为客户已详细阅读此价格表的备注内容，并接受各条款的约束！本公司保留各条款的所有及最终解释权； 
 FEDEX操作要求及附加费相关规定 
 1.价格未包含燃油附加费及当地产生的一切费用，RMB，燃油附加费以FEDEX网站每月公布为准，材积计算方式/5000！ 
 2.发票上的每项品名都必须提供商品编码(HS CODE)，否则视同敝司自行查找编码出货，由此产生的连带责任及费用均与敝司无关！内置电池请务必提供发件方盖章的电池信原件2份！ 
 3.发票上的每项品名都必须提供材质和用途，否则视同敝司自行填写材质和用途，敝司不做额外通知，由此产生的连带责任及费用均与敝司无关！（英国一定要付款证明） 
 4.货件转运时在海关清关所产生关税，FEDEX会将貨件先派送後收稅金的做法，收件人拒付时，将由寄件人支付，六个月内收取有效！内置电池必须纸箱包装；并于清单注明有电池！ 
 5.FEDEX渠道到欧洲的所有货件，须提供收件人EORI编码,如未提供敝司可安排出货，但敝司概不承担因EORI编码问题引起的一切后果及连带责任!（德国一定要提供EORI号码方可出货） 
 6.偏远附加费：￥：4*燃油/公斤，最低收费￥：202*燃油/票，请客户自行查询，偏远不论货物时候签收，三个月内收取有效！ 
 7.地址更改费：￥：75/件，最高收费￥：273/票，收件人更改派送地址由发件人支付，更改费三个内收取有效！ 
 8.单独报关费：报关费用；单证：发票/装箱单/核销单/销售合同/报关委托书等！ 
 9.货物要求：不能承运粉末、液体、现金、药品、毒品、易燃易爆品、军事用品、古董、色情物品、珠宝等按国家明文规定不能出口的禁运物品！ 
 10.重量尺寸要求：单件不能超过67kg；最长边不能超过269cm，周边长（1长+2宽+2高）≤329cm！ 
 11.发票要求：提供一式三份打印发票，需有详细英文品名/数量/申报价值/收件人资料，否则极易出现延误/扣关/罚款/ 送错地址，由敝司代为申报，敝司不承担由此引起的任何相关责任， 
 12.IEF/IPF超大件：(单件超68KG的或周长超330CM的，需加卡板高度超9CM以上); 超大件货物收费是按照每件最低68KG收费，高于68KG按照高于重量收取，此项请单询确认后才出货。 
 13.承运需知：报价不包含发票税金及货物转运过程中产生的海关关税/罚款/仓储费用/目的地不能提供海关要求的资料被退回香港的费用及香港到大陆的进口费用，一旦有这些费用产生收件人拒付，将由寄件人直接支付！ 
 14.赔偿说明：快件出现部分丢失、全部丢失,需提供收件人于签收后7天内投诉备案号及投诉人有效的联络方式，根据申报价值赔偿， 但最高不超过USD：100/票且不赔偿运费！延误、破损不做任何赔偿！国内运输及中港运输不做任何赔偿！ 
 15.发往US /Canada/Puerto Rico的私人地址及私人收件人的货物 ，需加收RMB：25另加当月燃油，此费用是预先收取后退还。三个月时间有效。 
 16.不接受任何仿牌货物及任何违禁品，一经发现敝司有权不退还运费及货物，未发现后冲关所产生的任何杂费及责任由寄件人承担！ 
 特别提示：如客人一旦同意接受敝司服务，敝司将自动认为客户已详细阅读此价格表的备注内容，并接受各条款的约束！ 
 个人住宅费收取标准：非超货收取RMB25/票*当月燃油；超货每票收取RMB860/票*当月燃油    
 UPS操作要求及附加费相关规定 
 1.价格含燃油附加费，燃油附加费每月将随国际燃油价格浮动，详情请查阅UPS网站公布数据。 
 2.报价不含目的地海关的关税、海关罚款、仓储费以及收件人责任所引起的退件费等等，如收件人拒付这些费用将自动更改为发货公司支付,并直接计入代理帐单内。而除了退件费以及其他费用,仍需另加收78RMB的附加费 
 3.偏远加收为4元每公斤*当月燃油,最低一票收195元*当月燃油;请自行查偏远地区，UPS偏远费3个月内收取有效！ 
 4.更改地址费用:每件加收77元,每票最高273元;UPS更改地址费用3个月内收取有效 
 5.以下货件须加40元每件:(此收费每件不累加)1）不规则货物 2）非纸箱包装货物 3）最长边超过152CM  4）第二长边超过76CM  5）单件实重超过32KG   
 6.以下货件须加388元+当月燃油每件:(以下是重复收费,只要符合加收条件,将累计加收) 
 （1）最长边超过270CM 
 （2）二条短边加起来*2再加长边超过330CM(但不能超过419CM,如果超过419CM要再加收一次388元每件) 
 （3）单件实重超过68KG 
 以上加收的40和388也是重复计加收: 
 例1:一件木箱.72KG,要加收非纸箱包装40,单件超32K加40,单件超68K加388*燃油,共加468（仍需加相关的燃油） 
 例2:一件货长160CM,宽80CM,高70CM,要加最长边超152CM,加40,第二边长超过76CM,加40,二条短边加起来*2加长边超过330CM,加388*燃油,此件共加468（仍需加相关的燃油） 
 例3:一件货实得72KG,体积长280CM,宽140CM,高50CM,要加,最长边超270CM加388*燃油,二短边加起来*2加长边超330CM加388*燃油，二短边加起来*2加长边超419CM再加388*燃油,单件实重超68KG,加388*燃油,此件共加1552（仍需加相关的燃油） 
 注意:如果是长边超了270,加了388,就不用再加长边超150CM的那40元。 
 7.2011年计算运费重量有以下更新： 
 总计费重量是按每一件货物各自独立计费重量的总和算,取消以前按整票货物实际重量总和跟材积重量总和相比取较大者为计费重量的方式.多件的每一件的材积大就按材积算，实重重就按实重算，然后把每件更重的重量相加，并且每件计费单位为0.5KG。 
 比如客户有一票货3件资料如下： 
实重
材积重
计费重 
 第一件货
15KG
8KG
15KG 
 第二件货
10KG
20KG
20KG 
 第三件货
15KG
16KG
16KG 
 那么这票货的总计费重量为：15+20+16=51KG   
 8.周六派送每票要加收100元+燃油，无论成功与否都得支付 
 9.每票如因客人拒收，或者其他原因不能派送而退回的货件，除了退件费，需另加收78元的附加费 
 10.寄件人支付目的地进口关税和税款需另加手续费125元/票,关税另收。我司不接受第三方支付关税,如果客户选择此付关税方式,产生的所有后果由客户自行负责. 
 11.如果选择UPS全球特快加急服务，需加320元/票加急费用，(仍需*燃油)如因UPS原因无法在规定的时间送达，此费用仍要支付 
 12.发往美国和加拿大私人住宅区地址，需加收23元*当月燃油每票的附加费用，美国也会产生偏远派送费，收费标准和其他国家偏远一样，最低消费195元+当月燃油，超过195的按4元/KG+燃油收取。此附加费我司所有UPS服务渠道均要收取。此费用，我司将在UPS收取我司后，直接从各代理帐单上收取，3个月内收费有效 
 13.尼日利亚不接受纺织品。 
 14.纯电池暂停服务，作为货件配件出口的电池，需随货附上电池安全证明书和规格电池安全证明LABEL纸（各种规格的电池安全证明LABEL纸格式可向我司客服索取），特惠价格不能走此类货物 
 15.所有货物的发票都必须详细，齐全，我司对所有货物的发票都会进行严查 
 16.保险费收取:保100美金,收元3.2元,保险金额不能超过货物申报价值.(贵重货物建议购买保险),有购买UPS保险的货物如有整票丢失, UPS是按投保金额的80%赔偿,但保险是不包货物内包装少货和货物损坏赔偿的. 
 17.对未投保的货品,UPS丢件最高赔偿: 货物每票不超过100美金,申报价值低于100美金按申报价值赔,文件每票不超过20美金; 
 18.快件出现破损或遗失等问题,收货人必须在签收后48小时内向目的地投诉,目的地服务商得到投诉受理后会提供Reference Number .发件代理须凭此Reference Number 向我司提出索赔,否则将无法受理.货物损坏赔偿是否,按UPS的赔偿为准.须在快件签收后7天内提交索赔资料,并提供货物的详细资料,包括运单,发票,和Reference Number，货物破损的,须提供货物破损的详细照片(含内外包装晴况和破损实况) 
 19.请按我司要求在交货清单上注明选择的服务方式，如因没注明清楚导致价格差异或者货件延误，由各代理自行承担。 
 20.关于赔偿：在运输过程中如果外箱完好，货物部分丢失，货物破损的不给予赔偿，不免运费。运输过程中全部丢失经调查同意赔偿的，赔偿金额将按照UPS的赔偿款退给客户。赔偿金额根据货物的价值赔偿，但货物最高赔偿价值不超过USD100。为使客户的损失降到最低，对于高价值的物品，建议客户可以自行购买保险 
 21.不接收《巴西》国家的偏远货件。 </v>
      </c>
    </row>
    <row customHeight="true" ht="42" r="46">
      <c r="B46" s="34"/>
    </row>
    <row customHeight="true" ht="42" r="47">
      <c r="B47" s="34"/>
    </row>
    <row customHeight="true" ht="42" r="48">
      <c r="B48" s="34"/>
    </row>
    <row customHeight="true" ht="42" r="49">
      <c r="B49" s="34"/>
    </row>
    <row customHeight="true" ht="42" r="50">
      <c r="B50" s="34"/>
    </row>
    <row customHeight="true" ht="42" r="51">
      <c r="B51" s="34"/>
    </row>
    <row customHeight="true" ht="42" r="52">
      <c r="B52" s="34"/>
    </row>
    <row customHeight="true" ht="42" r="53">
      <c r="B53" s="34"/>
    </row>
    <row customHeight="true" ht="42" r="54">
      <c r="B54" s="34"/>
    </row>
    <row customHeight="true" ht="42" r="55">
      <c r="B55" s="34"/>
    </row>
    <row customHeight="true" ht="42" r="56">
      <c r="B56" s="34"/>
    </row>
    <row customHeight="true" ht="42" r="57">
      <c r="B57" s="34"/>
    </row>
    <row customHeight="true" ht="42" r="58">
      <c r="B58" s="34"/>
    </row>
    <row customHeight="true" ht="42" r="59">
      <c r="B59" s="34"/>
    </row>
    <row customHeight="true" ht="42" r="60">
      <c r="B60" s="34"/>
    </row>
    <row customHeight="true" ht="42" r="61">
      <c r="B61" s="34"/>
    </row>
    <row customHeight="true" ht="42" r="62">
      <c r="B62" s="34"/>
    </row>
    <row customHeight="true" ht="42" r="63">
      <c r="B63" s="34"/>
    </row>
    <row customHeight="true" ht="42" r="64">
      <c r="B64" s="34"/>
    </row>
    <row customHeight="true" ht="42" r="65">
      <c r="B65" s="34"/>
    </row>
    <row customHeight="true" ht="42" r="66">
      <c r="B66" s="34"/>
    </row>
    <row customHeight="true" ht="42" r="67">
      <c r="B67" s="34"/>
    </row>
    <row customHeight="true" ht="42" r="68">
      <c r="B68" s="34"/>
    </row>
    <row customHeight="true" ht="42" r="69">
      <c r="B69" s="34"/>
    </row>
    <row customHeight="true" ht="42" r="70">
      <c r="B70" s="34"/>
    </row>
    <row customHeight="true" ht="42" r="71">
      <c r="B71" s="34"/>
    </row>
    <row customHeight="true" ht="42" r="72">
      <c r="B72" s="34"/>
    </row>
    <row customHeight="true" ht="42" r="73">
      <c r="B73" s="34"/>
    </row>
    <row customHeight="true" ht="42" r="74">
      <c r="B74" s="34"/>
    </row>
    <row customHeight="true" ht="42" r="75">
      <c r="B75" s="34"/>
    </row>
    <row customHeight="true" ht="42" r="76">
      <c r="B76" s="34"/>
    </row>
    <row customHeight="true" ht="42" r="77">
      <c r="B77" s="34"/>
    </row>
    <row customHeight="true" ht="42" r="78">
      <c r="B78" s="34"/>
    </row>
    <row customHeight="true" ht="42" r="79">
      <c r="B79" s="34"/>
    </row>
    <row customHeight="true" ht="42" r="80">
      <c r="B80" s="34"/>
    </row>
    <row customHeight="true" ht="42" r="81">
      <c r="B81" s="34"/>
    </row>
    <row customHeight="true" ht="42" r="82">
      <c r="B82" s="34"/>
    </row>
    <row customHeight="true" ht="42" r="83">
      <c r="B83" s="34"/>
    </row>
    <row customHeight="true" ht="42" r="84">
      <c r="B84" s="34"/>
    </row>
    <row customHeight="true" ht="224" r="85">
      <c r="B85" s="34"/>
    </row>
    <row customHeight="true" ht="36" r="86">
      <c r="B86" s="41" t="str">
        <v>上门提货标准</v>
      </c>
    </row>
    <row customHeight="true" ht="92" r="87">
      <c r="B87" s="43" t="str">
        <v>1、珠三角地区：距离入库仓库地址的距离对应的收货重量--30公里-200kg起、50公里-300kg起、70公里-400kg起、100公里500kg起。
2、华东及汕头仓库单询。
3、未达到标准可自行送货或分摊收货费用。</v>
      </c>
    </row>
  </sheetData>
  <mergeCells>
    <mergeCell ref="B23:B33"/>
    <mergeCell ref="B35:B37"/>
    <mergeCell ref="B38:B43"/>
    <mergeCell ref="B45:B85"/>
  </mergeCells>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ColWidth="14" defaultRowHeight="19"/>
  <cols>
    <col collapsed="false" customWidth="true" hidden="false" max="1" min="1" style="0" width="19"/>
    <col collapsed="false" customWidth="true" hidden="false" max="2" min="2" style="0" width="20"/>
    <col collapsed="false" customWidth="true" hidden="false" max="3" min="3" style="0" width="11"/>
    <col collapsed="false" customWidth="true" hidden="false" max="4" min="4" style="0" width="11"/>
    <col collapsed="false" customWidth="true" hidden="false" max="5" min="5" style="0" width="11"/>
    <col collapsed="false" customWidth="true" hidden="false" max="6" min="6" style="0" width="11"/>
    <col collapsed="false" customWidth="true" hidden="false" max="7" min="7" style="0" width="11"/>
    <col collapsed="false" customWidth="true" hidden="false" max="8" min="8" style="0" width="11"/>
    <col collapsed="false" customWidth="true" hidden="false" max="9" min="9" style="0" width="11"/>
    <col collapsed="false" customWidth="true" hidden="false" max="10" min="10" style="0" width="11"/>
    <col collapsed="false" customWidth="true" hidden="false" max="11" min="11" style="0" width="11"/>
    <col collapsed="false" customWidth="true" hidden="false" max="12" min="12" style="0" width="14"/>
    <col collapsed="false" customWidth="true" hidden="false" max="13" min="13" style="0" width="10"/>
    <col collapsed="false" customWidth="true" hidden="false" max="14" min="14" style="0" width="20"/>
    <col collapsed="false" customWidth="true" hidden="false" max="15" min="15" style="0" width="17"/>
    <col collapsed="false" customWidth="true" hidden="false" max="16" min="16" style="0" width="11"/>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30" r="1"/>
    <row customHeight="true" ht="43" r="2">
      <c r="A2" s="65" t="str">
        <v>美国快递</v>
      </c>
      <c r="B2" s="66"/>
      <c r="C2" s="66"/>
      <c r="D2" s="66"/>
      <c r="E2" s="66"/>
      <c r="F2" s="66"/>
      <c r="G2" s="66"/>
      <c r="H2" s="66"/>
      <c r="I2" s="66"/>
      <c r="J2" s="66"/>
      <c r="K2" s="66"/>
      <c r="L2" s="66"/>
      <c r="M2" s="66"/>
      <c r="N2" s="66"/>
      <c r="O2" s="67"/>
    </row>
    <row customHeight="true" ht="36" r="3">
      <c r="A3" s="49" t="str">
        <v>UPS包税</v>
      </c>
      <c r="B3" s="49"/>
      <c r="C3" s="49"/>
      <c r="D3" s="49"/>
      <c r="E3" s="49"/>
      <c r="F3" s="49"/>
      <c r="G3" s="49"/>
      <c r="H3" s="49"/>
      <c r="I3" s="49"/>
      <c r="J3" s="49"/>
      <c r="K3" s="49"/>
      <c r="L3" s="49"/>
      <c r="M3" s="49"/>
      <c r="N3" s="49"/>
      <c r="O3" s="49"/>
    </row>
    <row customHeight="true" ht="32" r="4">
      <c r="A4" s="87"/>
      <c r="B4" s="86"/>
      <c r="C4" s="85" t="str">
        <v>珠三角交货价</v>
      </c>
      <c r="D4" s="85"/>
      <c r="E4" s="85"/>
      <c r="F4" s="85" t="str">
        <v>汕头交货价</v>
      </c>
      <c r="G4" s="85"/>
      <c r="H4" s="85"/>
      <c r="I4" s="85" t="str">
        <v>义乌交货价</v>
      </c>
      <c r="J4" s="85"/>
      <c r="K4" s="85"/>
      <c r="L4" s="86"/>
      <c r="M4" s="86"/>
      <c r="N4" s="86"/>
      <c r="O4" s="88"/>
    </row>
    <row customHeight="true" ht="36" r="5">
      <c r="A5" s="78" t="str">
        <v>国家地区</v>
      </c>
      <c r="B5" s="75" t="str">
        <v>渠道</v>
      </c>
      <c r="C5" s="76" t="str">
        <v>实重23kg+</v>
      </c>
      <c r="D5" s="76" t="str">
        <v>47-72 kg</v>
      </c>
      <c r="E5" s="76" t="str">
        <v>73-99 kg</v>
      </c>
      <c r="F5" s="76" t="str">
        <v>实重23kg+</v>
      </c>
      <c r="G5" s="76" t="str">
        <v>47-72 kg</v>
      </c>
      <c r="H5" s="76" t="str">
        <v>73-99 kg</v>
      </c>
      <c r="I5" s="76" t="str">
        <v>实重23kg+</v>
      </c>
      <c r="J5" s="76" t="str">
        <v>47-72 kg</v>
      </c>
      <c r="K5" s="76" t="str">
        <v>73-99 kg</v>
      </c>
      <c r="L5" s="79" t="str">
        <v>操作要求</v>
      </c>
      <c r="M5" s="77" t="str">
        <v>提取时效</v>
      </c>
      <c r="N5" s="77" t="str">
        <v>备注</v>
      </c>
      <c r="O5" s="80" t="str">
        <v>计重方式</v>
      </c>
    </row>
    <row customHeight="true" ht="51" r="6">
      <c r="A6" s="56" t="str">
        <v>美国全境
（偏远地区另计）</v>
      </c>
      <c r="B6" s="68" t="str">
        <v>大陆UPS红单特快/5000</v>
      </c>
      <c r="C6" s="50">
        <v>70</v>
      </c>
      <c r="D6" s="50">
        <v>69.5</v>
      </c>
      <c r="E6" s="50">
        <v>69</v>
      </c>
      <c r="F6" s="50">
        <v>70.5</v>
      </c>
      <c r="G6" s="50">
        <v>70</v>
      </c>
      <c r="H6" s="50">
        <v>69.5</v>
      </c>
      <c r="I6" s="50">
        <v>71</v>
      </c>
      <c r="J6" s="50">
        <v>70.5</v>
      </c>
      <c r="K6" s="50">
        <v>70</v>
      </c>
      <c r="L6" s="57" t="s">
        <v>6</v>
      </c>
      <c r="M6" s="54" t="str">
        <v>特快服务不排仓           不限量</v>
      </c>
      <c r="N6" s="69" t="str">
        <v>私人地址35元/件 
带电产品、偏远地区单询</v>
      </c>
      <c r="O6" s="54" t="str">
        <v>体积重/5000，单箱计重</v>
      </c>
      <c r="P6" s="58"/>
      <c r="Q6" s="55"/>
    </row>
    <row customHeight="true" ht="51" r="7">
      <c r="A7" s="56" t="str">
        <v>美国全境
（偏远地区另计）</v>
      </c>
      <c r="B7" s="53" t="str">
        <v>大陆UPS红单/5000</v>
      </c>
      <c r="C7" s="50">
        <v>61</v>
      </c>
      <c r="D7" s="50">
        <v>60.5</v>
      </c>
      <c r="E7" s="50">
        <v>60</v>
      </c>
      <c r="F7" s="50">
        <v>61.5</v>
      </c>
      <c r="G7" s="50">
        <v>61</v>
      </c>
      <c r="H7" s="50">
        <v>60.5</v>
      </c>
      <c r="I7" s="50">
        <v>62</v>
      </c>
      <c r="J7" s="50">
        <v>61.5</v>
      </c>
      <c r="K7" s="50">
        <v>61</v>
      </c>
      <c r="L7" s="57"/>
      <c r="M7" s="54" t="str">
        <v>不排仓           不限量</v>
      </c>
      <c r="N7" s="52"/>
      <c r="O7" s="51"/>
      <c r="P7" s="58"/>
      <c r="Q7" s="55"/>
    </row>
    <row customHeight="true" ht="51" r="8">
      <c r="A8" s="56" t="str">
        <v>美国全境
（偏远地区另计）</v>
      </c>
      <c r="B8" s="60" t="str">
        <v>香港UPS红单/5000</v>
      </c>
      <c r="C8" s="50">
        <v>63</v>
      </c>
      <c r="D8" s="50">
        <v>62.5</v>
      </c>
      <c r="E8" s="50">
        <v>62</v>
      </c>
      <c r="F8" s="50">
        <v>64</v>
      </c>
      <c r="G8" s="50">
        <v>63.5</v>
      </c>
      <c r="H8" s="50">
        <v>63</v>
      </c>
      <c r="I8" s="50">
        <v>64</v>
      </c>
      <c r="J8" s="50">
        <v>63.5</v>
      </c>
      <c r="K8" s="50">
        <v>63</v>
      </c>
      <c r="L8" s="57"/>
      <c r="M8" s="54" t="str">
        <v>不排仓           不限量</v>
      </c>
      <c r="N8" s="61" t="str">
        <v>私人地址35元/件 
偏远地区单询</v>
      </c>
      <c r="O8" s="51"/>
      <c r="P8" s="58"/>
      <c r="Q8" s="55"/>
    </row>
    <row customHeight="true" ht="42" r="9">
      <c r="A9" s="49" t="str">
        <v>DHL</v>
      </c>
      <c r="B9" s="49"/>
      <c r="C9" s="49"/>
      <c r="D9" s="49"/>
      <c r="E9" s="49"/>
      <c r="F9" s="49"/>
      <c r="G9" s="49"/>
      <c r="H9" s="49"/>
      <c r="I9" s="49"/>
      <c r="J9" s="49"/>
      <c r="K9" s="49"/>
      <c r="L9" s="49"/>
      <c r="M9" s="49"/>
      <c r="N9" s="49"/>
      <c r="O9" s="49"/>
      <c r="P9" s="58"/>
      <c r="Q9" s="55"/>
    </row>
    <row customHeight="true" ht="51" r="10">
      <c r="A10" s="78" t="str">
        <v>国家地区</v>
      </c>
      <c r="B10" s="81" t="str">
        <v>渠道</v>
      </c>
      <c r="C10" s="77" t="str">
        <v>实重31kg+</v>
      </c>
      <c r="D10" s="77" t="str">
        <v>47-72 kg</v>
      </c>
      <c r="E10" s="77" t="str">
        <v>73-99 kg</v>
      </c>
      <c r="F10" s="77" t="str">
        <v>实重31kg+</v>
      </c>
      <c r="G10" s="77" t="str">
        <v>47-72 kg</v>
      </c>
      <c r="H10" s="77" t="str">
        <v>73-99 kg</v>
      </c>
      <c r="I10" s="77" t="str">
        <v>实重31kg+</v>
      </c>
      <c r="J10" s="77" t="str">
        <v>47-72 kg</v>
      </c>
      <c r="K10" s="77" t="str">
        <v>73-99 kg</v>
      </c>
      <c r="L10" s="77" t="str">
        <v>操作要求</v>
      </c>
      <c r="M10" s="77" t="str">
        <v>提取时效</v>
      </c>
      <c r="N10" s="77" t="str">
        <v>备注</v>
      </c>
      <c r="O10" s="80" t="str">
        <v>计重方式</v>
      </c>
      <c r="P10" s="58"/>
      <c r="Q10" s="55"/>
    </row>
    <row customHeight="true" ht="51" r="11">
      <c r="A11" s="56" t="str">
        <v>美国全境
（偏远地区另计）</v>
      </c>
      <c r="B11" s="60" t="str">
        <v>大陆DHL/5000</v>
      </c>
      <c r="C11" s="50" t="str">
        <v>*</v>
      </c>
      <c r="D11" s="50" t="str">
        <v>*</v>
      </c>
      <c r="E11" s="50" t="str">
        <v>*</v>
      </c>
      <c r="F11" s="50" t="str">
        <v>*</v>
      </c>
      <c r="G11" s="50" t="str">
        <v>*</v>
      </c>
      <c r="H11" s="50" t="str">
        <v>*</v>
      </c>
      <c r="I11" s="50" t="str">
        <v>*</v>
      </c>
      <c r="J11" s="50" t="str">
        <v>*</v>
      </c>
      <c r="K11" s="50" t="str">
        <v>*</v>
      </c>
      <c r="L11" s="50" t="str">
        <v>单箱8KG起
单箱计费</v>
      </c>
      <c r="M11" s="54" t="str">
        <v>不排仓           不限量</v>
      </c>
      <c r="N11" s="61" t="str">
        <v>仅限普货和FBA地址
私人地址35元/件 
偏远地区单询</v>
      </c>
      <c r="O11" s="54" t="str">
        <v>体积重/5000，单箱计重</v>
      </c>
      <c r="P11" s="55"/>
    </row>
    <row customHeight="true" ht="82" r="12">
      <c r="A12" s="56" t="str">
        <v>美国全境
（偏远地区另计）</v>
      </c>
      <c r="B12" s="60" t="str">
        <v>香港DHL/5000</v>
      </c>
      <c r="C12" s="50" t="str">
        <v>*</v>
      </c>
      <c r="D12" s="50" t="str">
        <v>*</v>
      </c>
      <c r="E12" s="50" t="str">
        <v>*</v>
      </c>
      <c r="F12" s="50" t="str">
        <v>*</v>
      </c>
      <c r="G12" s="50" t="str">
        <v>*</v>
      </c>
      <c r="H12" s="50" t="str">
        <v>*</v>
      </c>
      <c r="I12" s="50" t="str">
        <v>*</v>
      </c>
      <c r="J12" s="50" t="str">
        <v>*</v>
      </c>
      <c r="K12" s="50" t="str">
        <v>*</v>
      </c>
      <c r="L12" s="59"/>
      <c r="M12" s="51"/>
      <c r="N12" s="61" t="str">
        <v>仅限普货和FBA地址
私人地址35元/件 
带电产品、偏远地区单询</v>
      </c>
      <c r="O12" s="51"/>
      <c r="P12" s="55"/>
    </row>
    <row customHeight="true" ht="42" r="13">
      <c r="A13" s="89" t="str">
        <v>自主渠道，自主打单，当天出单号
（已含旺季附加费、燃油、关税）（带电产品单询）</v>
      </c>
      <c r="B13" s="89"/>
      <c r="C13" s="89"/>
      <c r="D13" s="89"/>
      <c r="E13" s="89"/>
      <c r="F13" s="89"/>
      <c r="G13" s="89"/>
      <c r="H13" s="89"/>
      <c r="I13" s="89"/>
      <c r="J13" s="89"/>
      <c r="K13" s="89"/>
      <c r="L13" s="89"/>
      <c r="M13" s="89"/>
      <c r="N13" s="89"/>
      <c r="O13" s="89"/>
    </row>
    <row customHeight="true" ht="25" r="14">
      <c r="A14" s="70" t="str">
        <v>附加费及要求</v>
      </c>
      <c r="B14" s="70"/>
      <c r="C14" s="70"/>
      <c r="D14" s="70"/>
      <c r="E14" s="70"/>
      <c r="F14" s="70"/>
      <c r="G14" s="70"/>
      <c r="H14" s="70"/>
      <c r="I14" s="70"/>
      <c r="J14" s="70"/>
      <c r="K14" s="70"/>
      <c r="L14" s="70"/>
      <c r="M14" s="70"/>
      <c r="N14" s="70"/>
      <c r="O14" s="70"/>
    </row>
    <row customHeight="true" ht="25" r="15">
      <c r="A15" s="70" t="str">
        <v>UPS代理发货申明：提取后官方时效延误，产品清关问题，产生关税及其它附加费用由客户承担。</v>
      </c>
      <c r="B15" s="70"/>
      <c r="C15" s="70"/>
      <c r="D15" s="70"/>
      <c r="E15" s="70"/>
      <c r="F15" s="70"/>
      <c r="G15" s="70"/>
      <c r="H15" s="70"/>
      <c r="I15" s="70"/>
      <c r="J15" s="70"/>
      <c r="K15" s="70"/>
      <c r="L15" s="70"/>
      <c r="M15" s="70"/>
      <c r="N15" s="70"/>
      <c r="O15" s="70"/>
    </row>
    <row customHeight="true" ht="34" r="16">
      <c r="A16" s="62" t="str">
        <v>特别提醒：汕头、义乌交货价格以货物实际到广州仓时间报价表价格为准。</v>
      </c>
      <c r="B16" s="62"/>
      <c r="C16" s="62"/>
      <c r="D16" s="62"/>
      <c r="E16" s="62"/>
      <c r="F16" s="62"/>
      <c r="G16" s="62"/>
      <c r="H16" s="62"/>
      <c r="I16" s="62"/>
      <c r="J16" s="62"/>
      <c r="K16" s="62"/>
      <c r="L16" s="62"/>
      <c r="M16" s="62"/>
      <c r="N16" s="62"/>
      <c r="O16" s="62"/>
    </row>
    <row customHeight="true" ht="25" r="17">
      <c r="A17" s="63" t="str">
        <v>1、单箱重量不得超过24KG，超过24KG需加收超重费，单询</v>
      </c>
      <c r="B17" s="63"/>
      <c r="C17" s="63"/>
      <c r="D17" s="63"/>
      <c r="E17" s="63"/>
      <c r="F17" s="63"/>
      <c r="G17" s="63"/>
      <c r="H17" s="63"/>
      <c r="I17" s="63"/>
      <c r="J17" s="63"/>
      <c r="K17" s="63"/>
      <c r="L17" s="63"/>
      <c r="M17" s="63"/>
      <c r="N17" s="63"/>
      <c r="O17" s="63"/>
    </row>
    <row customHeight="true" ht="25" r="18">
      <c r="A18" s="82" t="str">
        <v>2、单箱计重，DHL渠道以0.5为一个进位数，如21.23KG，计算为21.5KG；UPS渠道以1为一个进位数，如21.23KG，计算为22KG。</v>
      </c>
      <c r="B18" s="82"/>
      <c r="C18" s="82"/>
      <c r="D18" s="82"/>
      <c r="E18" s="82"/>
      <c r="F18" s="82"/>
      <c r="G18" s="82"/>
      <c r="H18" s="82"/>
      <c r="I18" s="82"/>
      <c r="J18" s="82"/>
      <c r="K18" s="82"/>
      <c r="L18" s="82"/>
      <c r="M18" s="82"/>
      <c r="N18" s="82"/>
      <c r="O18" s="82"/>
    </row>
    <row customHeight="true" ht="25" r="19">
      <c r="A19" s="63" t="str">
        <v>3、整票以1为一个计费数.整票如50.3，UPS计算为51KG</v>
      </c>
      <c r="B19" s="63"/>
      <c r="C19" s="63"/>
      <c r="D19" s="63"/>
      <c r="E19" s="63"/>
      <c r="F19" s="63"/>
      <c r="G19" s="63"/>
      <c r="H19" s="63"/>
      <c r="I19" s="63"/>
      <c r="J19" s="63"/>
      <c r="K19" s="63"/>
      <c r="L19" s="63"/>
      <c r="M19" s="63"/>
      <c r="N19" s="63"/>
      <c r="O19" s="63"/>
    </row>
    <row customHeight="true" ht="25" r="20">
      <c r="A20" s="63" t="str">
        <v>4、单箱最低计费重8KG  超过单边120CM需超长费，单询</v>
      </c>
      <c r="B20" s="63"/>
      <c r="C20" s="63"/>
      <c r="D20" s="63"/>
      <c r="E20" s="63"/>
      <c r="F20" s="63"/>
      <c r="G20" s="63"/>
      <c r="H20" s="63"/>
      <c r="I20" s="63"/>
      <c r="J20" s="63"/>
      <c r="K20" s="63"/>
      <c r="L20" s="63"/>
      <c r="M20" s="63"/>
      <c r="N20" s="63"/>
      <c r="O20" s="63"/>
    </row>
    <row customHeight="true" ht="25" r="21">
      <c r="A21" s="83" t="str">
        <v>5、单票超5个品名以上+30RMB/个</v>
      </c>
      <c r="B21" s="83"/>
      <c r="C21" s="83"/>
      <c r="D21" s="83"/>
      <c r="E21" s="83"/>
      <c r="F21" s="83"/>
      <c r="G21" s="83"/>
      <c r="H21" s="83"/>
      <c r="I21" s="83"/>
      <c r="J21" s="83"/>
      <c r="K21" s="83"/>
      <c r="L21" s="83"/>
      <c r="M21" s="83"/>
      <c r="N21" s="83"/>
      <c r="O21" s="83"/>
    </row>
    <row customHeight="true" ht="25" r="22">
      <c r="A22" s="83" t="str">
        <v>6、超大件可单询！</v>
      </c>
      <c r="B22" s="83"/>
      <c r="C22" s="83"/>
      <c r="D22" s="83"/>
      <c r="E22" s="83"/>
      <c r="F22" s="83"/>
      <c r="G22" s="83"/>
      <c r="H22" s="83"/>
      <c r="I22" s="83"/>
      <c r="J22" s="83"/>
      <c r="K22" s="83"/>
      <c r="L22" s="83"/>
      <c r="M22" s="83"/>
      <c r="N22" s="83"/>
      <c r="O22" s="83"/>
    </row>
    <row customHeight="true" ht="46" r="23">
      <c r="A23" s="73" t="str">
        <v>国内贴标费</v>
      </c>
      <c r="B23" s="71"/>
      <c r="C23" s="71"/>
      <c r="D23" s="71"/>
      <c r="E23" s="71"/>
      <c r="F23" s="71"/>
      <c r="G23" s="73" t="str">
        <v>1元/张</v>
      </c>
      <c r="H23" s="71"/>
      <c r="I23" s="74"/>
      <c r="J23" s="72" t="str">
        <v>为了准确快捷入库，请尽量配合贴好入仓标签/FBA标签/SKU标签等，因未贴标签或未及时告知导致仓库未能及时入库延误船期的我司概不负责</v>
      </c>
      <c r="K23" s="72"/>
      <c r="L23" s="72"/>
      <c r="M23" s="72"/>
      <c r="N23" s="72"/>
      <c r="O23" s="72"/>
    </row>
    <row customHeight="true" ht="40" r="24">
      <c r="A24" s="64" t="str">
        <v>注： 为了您的货物安全顺利到达目的地，大陆渠道只接普货，坚决不收牌子货、违禁品；带电带磁、请走香港渠道，违者扣货，罚款5000元，由于货物问题，产生一切费用由客户承担！</v>
      </c>
      <c r="B24" s="64"/>
      <c r="C24" s="64"/>
      <c r="D24" s="64"/>
      <c r="E24" s="64"/>
      <c r="F24" s="64"/>
      <c r="G24" s="64"/>
      <c r="H24" s="64"/>
      <c r="I24" s="64"/>
      <c r="J24" s="64"/>
      <c r="K24" s="64"/>
      <c r="L24" s="64"/>
      <c r="M24" s="64"/>
      <c r="N24" s="64"/>
      <c r="O24" s="64"/>
    </row>
    <row customHeight="true" ht="25" r="25">
      <c r="A25" s="84" t="str">
        <v>注意事项：提取后，丢失，损坏或延误，我司只负责协助申请赔偿，具体赔偿方案与金额以UPS官方为准！</v>
      </c>
      <c r="B25" s="84"/>
      <c r="C25" s="84"/>
      <c r="D25" s="84"/>
      <c r="E25" s="84"/>
      <c r="F25" s="84"/>
      <c r="G25" s="84"/>
      <c r="H25" s="84"/>
      <c r="I25" s="84"/>
      <c r="J25" s="84"/>
      <c r="K25" s="84"/>
      <c r="L25" s="84"/>
      <c r="M25" s="84"/>
      <c r="N25" s="84"/>
      <c r="O25" s="84"/>
    </row>
  </sheetData>
  <mergeCells>
    <mergeCell ref="A2:O2"/>
    <mergeCell ref="A3:O3"/>
    <mergeCell ref="A4:B4"/>
    <mergeCell ref="C4:E4"/>
    <mergeCell ref="F4:H4"/>
    <mergeCell ref="I4:K4"/>
    <mergeCell ref="L4:O4"/>
    <mergeCell ref="A9:O9"/>
    <mergeCell ref="A13:O13"/>
    <mergeCell ref="A14:O14"/>
    <mergeCell ref="A15:O15"/>
    <mergeCell ref="A16:O16"/>
    <mergeCell ref="A17:O17"/>
    <mergeCell ref="A18:O18"/>
    <mergeCell ref="A19:O19"/>
    <mergeCell ref="A20:O20"/>
    <mergeCell ref="A21:O21"/>
    <mergeCell ref="A22:O22"/>
    <mergeCell ref="A23:F23"/>
    <mergeCell ref="G23:I23"/>
    <mergeCell ref="J23:O23"/>
    <mergeCell ref="A24:O24"/>
    <mergeCell ref="A25:O25"/>
    <mergeCell ref="L6:L8"/>
    <mergeCell ref="L11:L12"/>
    <mergeCell ref="M11:M12"/>
    <mergeCell ref="N6:N7"/>
    <mergeCell ref="O6:O8"/>
    <mergeCell ref="O11:O12"/>
  </mergeCells>
  <drawing r:id="rId1"/>
  <picture r:id="rId2"/>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false" workbookViewId="0"/>
  </sheetViews>
  <sheetFormatPr defaultColWidth="14" defaultRowHeight="19"/>
  <cols>
    <col collapsed="false" customWidth="true" hidden="false" max="1" min="1" style="0" width="12"/>
    <col collapsed="false" customWidth="true" hidden="false" max="2" min="2" style="0" width="12"/>
    <col collapsed="false" customWidth="true" hidden="false" max="3" min="3" style="0" width="12"/>
    <col collapsed="false" customWidth="true" hidden="false" max="4" min="4" style="0" width="12"/>
    <col collapsed="false" customWidth="true" hidden="false" max="5" min="5" style="0" width="12"/>
    <col collapsed="false" customWidth="true" hidden="false" max="6" min="6" style="0" width="12"/>
    <col collapsed="false" customWidth="true" hidden="false" max="7" min="7" style="0" width="12"/>
    <col collapsed="false" customWidth="true" hidden="false" max="8" min="8" style="0" width="12"/>
    <col collapsed="false" customWidth="true" hidden="false" max="9" min="9" style="0" width="12"/>
    <col collapsed="false" customWidth="true" hidden="false" max="10" min="10" style="0" width="12"/>
    <col collapsed="false" customWidth="true" hidden="false" max="11" min="11" style="0" width="12"/>
    <col collapsed="false" customWidth="true" hidden="false" max="12" min="12" style="0" width="12"/>
    <col collapsed="false" customWidth="true" hidden="false" max="13" min="13" style="0" width="12"/>
    <col collapsed="false" customWidth="true" hidden="false" max="14" min="14" style="0" width="12"/>
    <col collapsed="false" customWidth="true" hidden="false" max="15" min="15" style="0" width="12"/>
    <col collapsed="false" customWidth="true" hidden="false" max="16" min="16" style="0" width="13"/>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37" r="1">
      <c r="A1" s="127"/>
      <c r="B1" s="128"/>
      <c r="C1" s="128"/>
      <c r="D1" s="128"/>
      <c r="E1" s="128"/>
      <c r="F1" s="128"/>
      <c r="G1" s="128"/>
      <c r="H1" s="128"/>
      <c r="I1" s="128"/>
      <c r="J1" s="128"/>
      <c r="K1" s="128"/>
      <c r="L1" s="128"/>
      <c r="M1" s="128"/>
      <c r="N1" s="128"/>
      <c r="O1" s="128"/>
      <c r="P1" s="129"/>
    </row>
    <row customHeight="true" ht="47" r="2">
      <c r="A2" s="135" t="str">
        <v>美国空运240</v>
      </c>
      <c r="B2" s="135"/>
      <c r="C2" s="135"/>
      <c r="D2" s="135"/>
      <c r="E2" s="135"/>
      <c r="F2" s="135"/>
      <c r="G2" s="135"/>
      <c r="H2" s="135"/>
      <c r="I2" s="135"/>
      <c r="J2" s="135"/>
      <c r="K2" s="135"/>
      <c r="L2" s="135"/>
      <c r="M2" s="135"/>
      <c r="N2" s="135"/>
      <c r="O2" s="135"/>
      <c r="P2" s="135"/>
    </row>
    <row customHeight="true" ht="33" r="3">
      <c r="A3" s="114" t="s">
        <v>8</v>
      </c>
      <c r="B3" s="115"/>
      <c r="C3" s="115"/>
      <c r="D3" s="115"/>
      <c r="E3" s="115"/>
      <c r="F3" s="115"/>
      <c r="G3" s="115"/>
      <c r="H3" s="115"/>
      <c r="I3" s="115"/>
      <c r="J3" s="115"/>
      <c r="K3" s="115"/>
      <c r="L3" s="115"/>
      <c r="M3" s="115"/>
      <c r="N3" s="115"/>
      <c r="O3" s="115"/>
      <c r="P3" s="116"/>
    </row>
    <row customHeight="true" ht="33" r="4">
      <c r="A4" s="118"/>
      <c r="B4" s="120"/>
      <c r="C4" s="117" t="str">
        <v>珠三角交货价</v>
      </c>
      <c r="D4" s="117"/>
      <c r="E4" s="117"/>
      <c r="F4" s="120"/>
      <c r="G4" s="118" t="str">
        <v>汕头交货价</v>
      </c>
      <c r="H4" s="117"/>
      <c r="I4" s="117"/>
      <c r="J4" s="120"/>
      <c r="K4" s="118" t="str">
        <v>义乌交货价</v>
      </c>
      <c r="L4" s="117"/>
      <c r="M4" s="117"/>
      <c r="N4" s="120"/>
      <c r="O4" s="118"/>
      <c r="P4" s="120"/>
    </row>
    <row customHeight="true" ht="53" r="5">
      <c r="A5" s="105" t="s">
        <v>7</v>
      </c>
      <c r="B5" s="101"/>
      <c r="C5" s="101" t="str">
        <v>12KG+</v>
      </c>
      <c r="D5" s="102" t="str">
        <v>21KG+</v>
      </c>
      <c r="E5" s="102" t="str">
        <v>51KG+</v>
      </c>
      <c r="F5" s="102" t="str">
        <v>101KG+</v>
      </c>
      <c r="G5" s="102" t="str">
        <v>12KG+</v>
      </c>
      <c r="H5" s="102" t="str">
        <v>21KG+</v>
      </c>
      <c r="I5" s="102" t="str">
        <v>51KG+</v>
      </c>
      <c r="J5" s="102" t="str">
        <v>101KG+</v>
      </c>
      <c r="K5" s="102" t="str">
        <v>12KG+</v>
      </c>
      <c r="L5" s="102" t="str">
        <v>21KG+</v>
      </c>
      <c r="M5" s="102" t="str">
        <v>51KG+</v>
      </c>
      <c r="N5" s="102" t="str">
        <v>101KG+</v>
      </c>
      <c r="O5" s="103" t="str">
        <v>承诺提取时效
交货后第二天算起</v>
      </c>
      <c r="P5" s="104"/>
    </row>
    <row customHeight="true" ht="48" r="6">
      <c r="A6" s="94" t="str">
        <v>8,9</v>
      </c>
      <c r="B6" s="93"/>
      <c r="C6" s="24">
        <v>40</v>
      </c>
      <c r="D6" s="24">
        <v>39</v>
      </c>
      <c r="E6" s="24">
        <v>38</v>
      </c>
      <c r="F6" s="24">
        <v>37</v>
      </c>
      <c r="G6" s="24">
        <v>41</v>
      </c>
      <c r="H6" s="24">
        <v>40</v>
      </c>
      <c r="I6" s="24">
        <v>39</v>
      </c>
      <c r="J6" s="24">
        <v>38</v>
      </c>
      <c r="K6" s="24">
        <v>41</v>
      </c>
      <c r="L6" s="24">
        <v>40</v>
      </c>
      <c r="M6" s="24">
        <v>39</v>
      </c>
      <c r="N6" s="24">
        <v>38</v>
      </c>
      <c r="O6" s="91" t="str">
        <v>5-12个自然日</v>
      </c>
      <c r="P6" s="91"/>
      <c r="Q6" s="92"/>
      <c r="R6" s="109"/>
      <c r="S6" s="90"/>
      <c r="T6" s="90"/>
    </row>
    <row customHeight="true" ht="48" r="7">
      <c r="A7" s="96" t="str">
        <v>6,7</v>
      </c>
      <c r="B7" s="97"/>
      <c r="C7" s="95">
        <v>41</v>
      </c>
      <c r="D7" s="95">
        <v>40</v>
      </c>
      <c r="E7" s="95">
        <v>39</v>
      </c>
      <c r="F7" s="95">
        <v>38</v>
      </c>
      <c r="G7" s="95">
        <v>42</v>
      </c>
      <c r="H7" s="95">
        <v>41</v>
      </c>
      <c r="I7" s="95">
        <v>40</v>
      </c>
      <c r="J7" s="95">
        <v>39</v>
      </c>
      <c r="K7" s="95">
        <v>42</v>
      </c>
      <c r="L7" s="95">
        <v>41</v>
      </c>
      <c r="M7" s="95">
        <v>40</v>
      </c>
      <c r="N7" s="95">
        <v>39</v>
      </c>
      <c r="O7" s="91"/>
      <c r="P7" s="91"/>
      <c r="Q7" s="92"/>
      <c r="R7" s="90"/>
      <c r="S7" s="90"/>
      <c r="T7" s="90"/>
    </row>
    <row customHeight="true" ht="48" r="8">
      <c r="A8" s="94" t="str">
        <v>4,5</v>
      </c>
      <c r="B8" s="93"/>
      <c r="C8" s="24">
        <v>42</v>
      </c>
      <c r="D8" s="24">
        <v>41</v>
      </c>
      <c r="E8" s="24">
        <v>40</v>
      </c>
      <c r="F8" s="24">
        <v>39</v>
      </c>
      <c r="G8" s="24">
        <v>43</v>
      </c>
      <c r="H8" s="24">
        <v>42</v>
      </c>
      <c r="I8" s="24">
        <v>41</v>
      </c>
      <c r="J8" s="24">
        <v>40</v>
      </c>
      <c r="K8" s="24">
        <v>43</v>
      </c>
      <c r="L8" s="24">
        <v>42</v>
      </c>
      <c r="M8" s="24">
        <v>41</v>
      </c>
      <c r="N8" s="24">
        <v>40</v>
      </c>
      <c r="O8" s="91"/>
      <c r="P8" s="91"/>
      <c r="Q8" s="92"/>
      <c r="R8" s="90"/>
      <c r="S8" s="90"/>
      <c r="T8" s="90"/>
    </row>
    <row customHeight="true" ht="48" r="9">
      <c r="A9" s="133" t="str">
        <v>0,1,2,3</v>
      </c>
      <c r="B9" s="132"/>
      <c r="C9" s="130">
        <v>43</v>
      </c>
      <c r="D9" s="130">
        <v>42</v>
      </c>
      <c r="E9" s="130">
        <v>41</v>
      </c>
      <c r="F9" s="130">
        <v>40</v>
      </c>
      <c r="G9" s="130">
        <v>44</v>
      </c>
      <c r="H9" s="130">
        <v>43</v>
      </c>
      <c r="I9" s="130">
        <v>42</v>
      </c>
      <c r="J9" s="130">
        <v>41</v>
      </c>
      <c r="K9" s="130">
        <v>44</v>
      </c>
      <c r="L9" s="130">
        <v>43</v>
      </c>
      <c r="M9" s="130">
        <v>42</v>
      </c>
      <c r="N9" s="130">
        <v>41</v>
      </c>
      <c r="O9" s="131"/>
      <c r="P9" s="131"/>
      <c r="Q9" s="92"/>
      <c r="R9" s="109"/>
      <c r="S9" s="90"/>
      <c r="T9" s="90"/>
    </row>
    <row customHeight="true" ht="38" r="10">
      <c r="A10" s="137" t="s">
        <v>11</v>
      </c>
      <c r="B10" s="136"/>
      <c r="C10" s="136"/>
      <c r="D10" s="136"/>
      <c r="E10" s="136"/>
      <c r="F10" s="136"/>
      <c r="G10" s="136"/>
      <c r="H10" s="136"/>
      <c r="I10" s="136"/>
      <c r="J10" s="136"/>
      <c r="K10" s="136"/>
      <c r="L10" s="136"/>
      <c r="M10" s="136"/>
      <c r="N10" s="136"/>
      <c r="O10" s="136"/>
      <c r="P10" s="136"/>
      <c r="Q10" s="92"/>
      <c r="R10" s="90"/>
      <c r="S10" s="90"/>
      <c r="T10" s="90"/>
    </row>
    <row customHeight="true" ht="33" r="11">
      <c r="A11" s="118"/>
      <c r="B11" s="120"/>
      <c r="C11" s="117" t="str">
        <v>珠三角交货价</v>
      </c>
      <c r="D11" s="117"/>
      <c r="E11" s="117"/>
      <c r="F11" s="120"/>
      <c r="G11" s="119" t="str">
        <v>汕头交货价</v>
      </c>
      <c r="H11" s="119"/>
      <c r="I11" s="119"/>
      <c r="J11" s="119"/>
      <c r="K11" s="118" t="str">
        <v>义乌交货价</v>
      </c>
      <c r="L11" s="117"/>
      <c r="M11" s="117"/>
      <c r="N11" s="120"/>
      <c r="O11" s="118"/>
      <c r="P11" s="120"/>
    </row>
    <row customHeight="true" ht="46" r="12">
      <c r="A12" s="123" t="s">
        <v>9</v>
      </c>
      <c r="B12" s="124"/>
      <c r="C12" s="125" t="str">
        <v>12KG+</v>
      </c>
      <c r="D12" s="101"/>
      <c r="E12" s="124" t="str">
        <v>201KG+</v>
      </c>
      <c r="F12" s="124" t="str">
        <v>501KG+</v>
      </c>
      <c r="G12" s="102" t="str">
        <v>12KG+</v>
      </c>
      <c r="H12" s="102"/>
      <c r="I12" s="124" t="str">
        <v>201KG+</v>
      </c>
      <c r="J12" s="124" t="str">
        <v>501KG+</v>
      </c>
      <c r="K12" s="102" t="str">
        <v>12KG+</v>
      </c>
      <c r="L12" s="102"/>
      <c r="M12" s="124" t="str">
        <v>201KG+</v>
      </c>
      <c r="N12" s="124" t="str">
        <v>501KG+</v>
      </c>
      <c r="O12" s="126" t="str">
        <v>参考签收时效
交货后第二天算起</v>
      </c>
      <c r="P12" s="126"/>
      <c r="Q12" s="92"/>
      <c r="R12" s="109"/>
      <c r="S12" s="90"/>
      <c r="T12" s="90"/>
    </row>
    <row customHeight="true" ht="59" r="13">
      <c r="A13" s="106" t="str">
        <v>ONT8/LGB8
SBD1/JOT1/POC1/POC3</v>
      </c>
      <c r="B13" s="106"/>
      <c r="C13" s="24" t="str">
        <v>*</v>
      </c>
      <c r="D13" s="24"/>
      <c r="E13" s="24">
        <v>41.5</v>
      </c>
      <c r="F13" s="24">
        <v>41</v>
      </c>
      <c r="G13" s="24" t="str">
        <v>*</v>
      </c>
      <c r="H13" s="24"/>
      <c r="I13" s="24">
        <v>42.5</v>
      </c>
      <c r="J13" s="24">
        <v>42</v>
      </c>
      <c r="K13" s="24" t="str">
        <v>*</v>
      </c>
      <c r="L13" s="24"/>
      <c r="M13" s="24">
        <v>43.5</v>
      </c>
      <c r="N13" s="24">
        <v>43</v>
      </c>
      <c r="O13" s="107" t="str">
        <v>7-15个自然日</v>
      </c>
      <c r="P13" s="108"/>
      <c r="Q13" s="92"/>
      <c r="R13" s="90"/>
      <c r="S13" s="90"/>
      <c r="T13" s="90"/>
    </row>
    <row customHeight="true" ht="89" r="14">
      <c r="A14" s="111" t="str">
        <v>SMF3/GYR3
GYR2/SCK4/MIT2/QXY5/GEU3/GEU2/GEU5</v>
      </c>
      <c r="B14" s="111"/>
      <c r="C14" s="102" t="str">
        <v>*</v>
      </c>
      <c r="D14" s="102"/>
      <c r="E14" s="102">
        <v>42.5</v>
      </c>
      <c r="F14" s="102">
        <v>42</v>
      </c>
      <c r="G14" s="102" t="str">
        <v>*</v>
      </c>
      <c r="H14" s="102"/>
      <c r="I14" s="102">
        <v>43.5</v>
      </c>
      <c r="J14" s="102">
        <v>43</v>
      </c>
      <c r="K14" s="102" t="str">
        <v>*</v>
      </c>
      <c r="L14" s="102"/>
      <c r="M14" s="102">
        <v>44.5</v>
      </c>
      <c r="N14" s="102">
        <v>44</v>
      </c>
      <c r="O14" s="112" t="str">
        <v>8-16个自然日</v>
      </c>
      <c r="P14" s="110"/>
      <c r="Q14" s="92"/>
      <c r="R14" s="90"/>
      <c r="S14" s="90"/>
      <c r="T14" s="90"/>
    </row>
    <row customHeight="true" ht="59" r="15">
      <c r="A15" s="145" t="s">
        <v>12</v>
      </c>
      <c r="B15" s="141"/>
      <c r="C15" s="141"/>
      <c r="D15" s="141"/>
      <c r="E15" s="141"/>
      <c r="F15" s="141"/>
      <c r="G15" s="142"/>
      <c r="H15" s="142"/>
      <c r="I15" s="146"/>
      <c r="J15" s="144" t="str">
        <v>空卡交货后第二天算起7-15天签收</v>
      </c>
      <c r="K15" s="143"/>
      <c r="L15" s="143"/>
      <c r="M15" s="144"/>
      <c r="N15" s="144"/>
      <c r="O15" s="144"/>
      <c r="P15" s="144"/>
    </row>
    <row customHeight="true" ht="64" r="16">
      <c r="A16" s="65" t="str">
        <v>美国空运240（带电/化妆品）</v>
      </c>
      <c r="B16" s="66"/>
      <c r="C16" s="66"/>
      <c r="D16" s="66"/>
      <c r="E16" s="66"/>
      <c r="F16" s="66"/>
      <c r="G16" s="66"/>
      <c r="H16" s="66"/>
      <c r="I16" s="66"/>
      <c r="J16" s="66"/>
      <c r="K16" s="66"/>
      <c r="L16" s="66"/>
      <c r="M16" s="66"/>
      <c r="N16" s="66"/>
      <c r="O16" s="66"/>
      <c r="P16" s="67"/>
    </row>
    <row customHeight="true" ht="33" r="17">
      <c r="A17" s="114" t="s">
        <v>10</v>
      </c>
      <c r="B17" s="115"/>
      <c r="C17" s="115"/>
      <c r="D17" s="115"/>
      <c r="E17" s="115"/>
      <c r="F17" s="115"/>
      <c r="G17" s="115"/>
      <c r="H17" s="115"/>
      <c r="I17" s="115"/>
      <c r="J17" s="115"/>
      <c r="K17" s="115"/>
      <c r="L17" s="115"/>
      <c r="M17" s="115"/>
      <c r="N17" s="115"/>
      <c r="O17" s="115"/>
      <c r="P17" s="116"/>
    </row>
    <row customHeight="true" ht="33" r="18">
      <c r="A18" s="118"/>
      <c r="B18" s="120"/>
      <c r="C18" s="117" t="str">
        <v>珠三角交货价</v>
      </c>
      <c r="D18" s="117"/>
      <c r="E18" s="117"/>
      <c r="F18" s="120"/>
      <c r="G18" s="119" t="str">
        <v>汕头交货价</v>
      </c>
      <c r="H18" s="119"/>
      <c r="I18" s="119"/>
      <c r="J18" s="119"/>
      <c r="K18" s="118" t="str">
        <v>义乌交货价</v>
      </c>
      <c r="L18" s="117"/>
      <c r="M18" s="117"/>
      <c r="N18" s="120"/>
      <c r="O18" s="118"/>
      <c r="P18" s="120"/>
    </row>
    <row customHeight="true" ht="64" r="19">
      <c r="A19" s="105" t="s">
        <v>7</v>
      </c>
      <c r="B19" s="101"/>
      <c r="C19" s="101" t="str">
        <v>12KG+</v>
      </c>
      <c r="D19" s="102" t="str">
        <v>21KG+</v>
      </c>
      <c r="E19" s="102" t="str">
        <v>51KG+</v>
      </c>
      <c r="F19" s="102" t="str">
        <v>101KG+</v>
      </c>
      <c r="G19" s="102" t="str">
        <v>12KG+</v>
      </c>
      <c r="H19" s="102" t="str">
        <v>21KG+</v>
      </c>
      <c r="I19" s="102" t="str">
        <v>51KG+</v>
      </c>
      <c r="J19" s="102" t="str">
        <v>101KG+</v>
      </c>
      <c r="K19" s="102" t="str">
        <v>12KG+</v>
      </c>
      <c r="L19" s="102" t="str">
        <v>21KG+</v>
      </c>
      <c r="M19" s="102" t="str">
        <v>51KG+</v>
      </c>
      <c r="N19" s="102" t="str">
        <v>101KG+</v>
      </c>
      <c r="O19" s="103" t="str">
        <v>提取时效
交货后第二天算起</v>
      </c>
      <c r="P19" s="104"/>
    </row>
    <row customHeight="true" ht="64" r="20">
      <c r="A20" s="94" t="str">
        <v>8,9</v>
      </c>
      <c r="B20" s="93"/>
      <c r="C20" s="93" t="str">
        <v>*</v>
      </c>
      <c r="D20" s="24" t="str">
        <v>*</v>
      </c>
      <c r="E20" s="24" t="str">
        <v>*</v>
      </c>
      <c r="F20" s="24" t="str">
        <v>*</v>
      </c>
      <c r="G20" s="24" t="str">
        <v>*</v>
      </c>
      <c r="H20" s="24" t="str">
        <v>*</v>
      </c>
      <c r="I20" s="24" t="str">
        <v>*</v>
      </c>
      <c r="J20" s="24" t="str">
        <v>*</v>
      </c>
      <c r="K20" s="24" t="str">
        <v>*</v>
      </c>
      <c r="L20" s="24" t="str">
        <v>*</v>
      </c>
      <c r="M20" s="24" t="str">
        <v>*</v>
      </c>
      <c r="N20" s="24" t="str">
        <v>*</v>
      </c>
      <c r="O20" s="91" t="str">
        <v>7-14个自然日</v>
      </c>
      <c r="P20" s="91"/>
    </row>
    <row customHeight="true" ht="64" r="21">
      <c r="A21" s="96" t="str">
        <v>6,7</v>
      </c>
      <c r="B21" s="97"/>
      <c r="C21" s="97" t="str">
        <v>*</v>
      </c>
      <c r="D21" s="95" t="str">
        <v>*</v>
      </c>
      <c r="E21" s="95" t="str">
        <v>*</v>
      </c>
      <c r="F21" s="95" t="str">
        <v>*</v>
      </c>
      <c r="G21" s="95" t="str">
        <v>*</v>
      </c>
      <c r="H21" s="95" t="str">
        <v>*</v>
      </c>
      <c r="I21" s="95" t="str">
        <v>*</v>
      </c>
      <c r="J21" s="95" t="str">
        <v>*</v>
      </c>
      <c r="K21" s="95" t="str">
        <v>*</v>
      </c>
      <c r="L21" s="95" t="str">
        <v>*</v>
      </c>
      <c r="M21" s="95" t="str">
        <v>*</v>
      </c>
      <c r="N21" s="95" t="str">
        <v>*</v>
      </c>
      <c r="O21" s="91"/>
      <c r="P21" s="91"/>
    </row>
    <row customHeight="true" ht="64" r="22">
      <c r="A22" s="94" t="str">
        <v>4,5</v>
      </c>
      <c r="B22" s="93"/>
      <c r="C22" s="93" t="str">
        <v>*</v>
      </c>
      <c r="D22" s="24" t="str">
        <v>*</v>
      </c>
      <c r="E22" s="24" t="str">
        <v>*</v>
      </c>
      <c r="F22" s="24" t="str">
        <v>*</v>
      </c>
      <c r="G22" s="24" t="str">
        <v>*</v>
      </c>
      <c r="H22" s="24" t="str">
        <v>*</v>
      </c>
      <c r="I22" s="24" t="str">
        <v>*</v>
      </c>
      <c r="J22" s="24" t="str">
        <v>*</v>
      </c>
      <c r="K22" s="24" t="str">
        <v>*</v>
      </c>
      <c r="L22" s="24" t="str">
        <v>*</v>
      </c>
      <c r="M22" s="24" t="str">
        <v>*</v>
      </c>
      <c r="N22" s="24" t="str">
        <v>*</v>
      </c>
      <c r="O22" s="91"/>
      <c r="P22" s="91"/>
    </row>
    <row customHeight="true" ht="64" r="23">
      <c r="A23" s="133" t="str">
        <v>0,1,2,3</v>
      </c>
      <c r="B23" s="132"/>
      <c r="C23" s="132" t="str">
        <v>*</v>
      </c>
      <c r="D23" s="95" t="str">
        <v>*</v>
      </c>
      <c r="E23" s="95" t="str">
        <v>*</v>
      </c>
      <c r="F23" s="95" t="str">
        <v>*</v>
      </c>
      <c r="G23" s="95" t="str">
        <v>*</v>
      </c>
      <c r="H23" s="95" t="str">
        <v>*</v>
      </c>
      <c r="I23" s="95" t="str">
        <v>*</v>
      </c>
      <c r="J23" s="95" t="str">
        <v>*</v>
      </c>
      <c r="K23" s="95" t="str">
        <v>*</v>
      </c>
      <c r="L23" s="95" t="str">
        <v>*</v>
      </c>
      <c r="M23" s="95" t="str">
        <v>*</v>
      </c>
      <c r="N23" s="95" t="str">
        <v>*</v>
      </c>
      <c r="O23" s="131"/>
      <c r="P23" s="131"/>
    </row>
    <row customHeight="true" ht="64" r="24">
      <c r="A24" s="149" t="s">
        <v>13</v>
      </c>
      <c r="B24" s="148"/>
      <c r="C24" s="148"/>
      <c r="D24" s="148"/>
      <c r="E24" s="148"/>
      <c r="F24" s="148"/>
      <c r="G24" s="148"/>
      <c r="H24" s="148"/>
      <c r="I24" s="148"/>
      <c r="J24" s="148"/>
      <c r="K24" s="148"/>
      <c r="L24" s="148"/>
      <c r="M24" s="148"/>
      <c r="N24" s="148"/>
      <c r="O24" s="148"/>
      <c r="P24" s="147"/>
    </row>
    <row customHeight="true" ht="34" r="25">
      <c r="A25" s="134" t="str">
        <v>特别提醒：汕头、义乌交货价格以货物实际到广州仓时间报价表价格为准。</v>
      </c>
      <c r="B25" s="134"/>
      <c r="C25" s="134"/>
      <c r="D25" s="134"/>
      <c r="E25" s="134"/>
      <c r="F25" s="134"/>
      <c r="G25" s="134"/>
      <c r="H25" s="134"/>
      <c r="I25" s="134"/>
      <c r="J25" s="134"/>
      <c r="K25" s="134"/>
      <c r="L25" s="134"/>
      <c r="M25" s="134"/>
      <c r="N25" s="134"/>
      <c r="O25" s="134"/>
      <c r="P25" s="134"/>
    </row>
    <row customHeight="true" ht="36" r="26">
      <c r="A26" s="138" t="str">
        <v>赔付条款如遇海关检查/节假日/PO失效或亚马逊推约等不可控因素等原因即取消赔付服务</v>
      </c>
      <c r="B26" s="139"/>
      <c r="C26" s="139"/>
      <c r="D26" s="139"/>
      <c r="E26" s="139"/>
      <c r="F26" s="139"/>
      <c r="G26" s="139"/>
      <c r="H26" s="139"/>
      <c r="I26" s="139"/>
      <c r="J26" s="139"/>
      <c r="K26" s="139"/>
      <c r="L26" s="139"/>
      <c r="M26" s="139"/>
      <c r="N26" s="139"/>
      <c r="O26" s="139"/>
      <c r="P26" s="140"/>
    </row>
    <row customHeight="true" ht="29" r="27">
      <c r="A27" s="24" t="str">
        <v>附加费及要求</v>
      </c>
      <c r="B27" s="24"/>
      <c r="C27" s="24"/>
      <c r="D27" s="24"/>
      <c r="E27" s="24"/>
      <c r="F27" s="24"/>
      <c r="G27" s="24"/>
      <c r="H27" s="24"/>
      <c r="I27" s="24"/>
      <c r="J27" s="24"/>
      <c r="K27" s="24"/>
      <c r="L27" s="24"/>
      <c r="M27" s="24"/>
      <c r="N27" s="24"/>
      <c r="O27" s="24"/>
      <c r="P27" s="24"/>
    </row>
    <row customHeight="true" ht="29" r="28">
      <c r="A28" s="13" t="str">
        <v>单独报关件单询！单票超5个品名以上+50RMB/个，偏远费+2RMB/KG，单箱计费重12KG起，尾端UPS/FEDEX派送，非FBA商业地址+1元KG，住宅地址+2KG</v>
      </c>
      <c r="B28" s="13"/>
      <c r="C28" s="13"/>
      <c r="D28" s="13"/>
      <c r="E28" s="13"/>
      <c r="F28" s="13"/>
      <c r="G28" s="13"/>
      <c r="H28" s="13"/>
      <c r="I28" s="13"/>
      <c r="J28" s="13"/>
      <c r="K28" s="13"/>
      <c r="L28" s="13"/>
      <c r="M28" s="13"/>
      <c r="N28" s="13"/>
      <c r="O28" s="13"/>
      <c r="P28" s="13"/>
    </row>
    <row customHeight="true" ht="29" r="29">
      <c r="A29" s="13" t="str">
        <v>注明：每周报价表为实时报价，不可控因素或市场变化调节过大时，升或降以到仓价格为准</v>
      </c>
      <c r="B29" s="13"/>
      <c r="C29" s="13"/>
      <c r="D29" s="13"/>
      <c r="E29" s="13"/>
      <c r="F29" s="13"/>
      <c r="G29" s="13"/>
      <c r="H29" s="13"/>
      <c r="I29" s="13"/>
      <c r="J29" s="13"/>
      <c r="K29" s="13"/>
      <c r="L29" s="13"/>
      <c r="M29" s="13"/>
      <c r="N29" s="13"/>
      <c r="O29" s="13"/>
      <c r="P29" s="13"/>
    </row>
    <row customHeight="true" ht="29" r="30">
      <c r="A30" s="113" t="str">
        <v>包税附加费，未列明产品请跟业务联系</v>
      </c>
      <c r="B30" s="113"/>
      <c r="C30" s="113"/>
      <c r="D30" s="113"/>
      <c r="E30" s="113"/>
      <c r="F30" s="113"/>
      <c r="G30" s="113"/>
      <c r="H30" s="113"/>
      <c r="I30" s="113"/>
      <c r="J30" s="113"/>
      <c r="K30" s="113"/>
      <c r="L30" s="113"/>
      <c r="M30" s="113"/>
      <c r="N30" s="113"/>
      <c r="O30" s="113"/>
      <c r="P30" s="113"/>
    </row>
    <row customHeight="true" ht="29" r="31">
      <c r="A31" s="94" t="str">
        <v>需加收产品及杂费</v>
      </c>
      <c r="B31" s="150"/>
      <c r="C31" s="150"/>
      <c r="D31" s="150"/>
      <c r="E31" s="150"/>
      <c r="F31" s="150"/>
      <c r="G31" s="94" t="str">
        <v>加收金额</v>
      </c>
      <c r="H31" s="150"/>
      <c r="I31" s="93"/>
      <c r="J31" s="24" t="str">
        <v>备注</v>
      </c>
      <c r="K31" s="24"/>
      <c r="L31" s="24"/>
      <c r="M31" s="24"/>
      <c r="N31" s="24"/>
      <c r="O31" s="24"/>
      <c r="P31" s="24"/>
    </row>
    <row customHeight="true" ht="44" r="32">
      <c r="A32" s="73" t="str">
        <v>除高价值，高关税产品，其余普通产品无附加费</v>
      </c>
      <c r="B32" s="71"/>
      <c r="C32" s="71"/>
      <c r="D32" s="71"/>
      <c r="E32" s="71"/>
      <c r="F32" s="71"/>
      <c r="G32" s="99" t="str">
        <v>无附加费</v>
      </c>
      <c r="H32" s="100"/>
      <c r="I32" s="98"/>
      <c r="J32" s="72" t="str">
        <v>由于产品本身专利或知识产权问题产生扣关，货物退回等后续问题由客户承担，我司保留追究的权力</v>
      </c>
      <c r="K32" s="72"/>
      <c r="L32" s="72"/>
      <c r="M32" s="72"/>
      <c r="N32" s="72"/>
      <c r="O32" s="72"/>
      <c r="P32" s="72"/>
    </row>
    <row customHeight="true" ht="50" r="33">
      <c r="A33" s="73" t="str">
        <v>纺织品，笔（铅笔不接）、鞋子、服装（穿戴）、包包、蓝牙产品（有标志不接）、玩具类（必须有CPC类证书）</v>
      </c>
      <c r="B33" s="71"/>
      <c r="C33" s="71"/>
      <c r="D33" s="71"/>
      <c r="E33" s="71"/>
      <c r="F33" s="71"/>
      <c r="G33" s="73" t="str">
        <v>单询</v>
      </c>
      <c r="H33" s="71"/>
      <c r="I33" s="74"/>
      <c r="J33" s="72" t="str">
        <v>FDA类产品，海关可能会查验。由于客户提供错误的FDA ID. 产生扣关，关税，货物退回等后续问题由客户承担，我司并保留追究的权力</v>
      </c>
      <c r="K33" s="72"/>
      <c r="L33" s="72"/>
      <c r="M33" s="72"/>
      <c r="N33" s="72"/>
      <c r="O33" s="72"/>
      <c r="P33" s="72"/>
    </row>
    <row customHeight="true" ht="38" r="34">
      <c r="A34" s="73" t="str">
        <v>化工品（指甲胶、精油、口红、眼影，卸妆水、洗发水等）</v>
      </c>
      <c r="B34" s="71"/>
      <c r="C34" s="71"/>
      <c r="D34" s="71"/>
      <c r="E34" s="71"/>
      <c r="F34" s="71"/>
      <c r="G34" s="73" t="str">
        <v>单询</v>
      </c>
      <c r="H34" s="71"/>
      <c r="I34" s="74"/>
      <c r="J34" s="73" t="str">
        <v>提供真实有效期内商检、MSDS认证视为普货，无需附加费（证书是否有效以相关部门是否认可为准）</v>
      </c>
      <c r="K34" s="71"/>
      <c r="L34" s="71"/>
      <c r="M34" s="71"/>
      <c r="N34" s="71"/>
      <c r="O34" s="71"/>
      <c r="P34" s="74"/>
    </row>
    <row customHeight="true" ht="38" r="35">
      <c r="A35" s="73" t="str">
        <v>国内贴标费</v>
      </c>
      <c r="B35" s="71"/>
      <c r="C35" s="71"/>
      <c r="D35" s="71"/>
      <c r="E35" s="71"/>
      <c r="F35" s="71"/>
      <c r="G35" s="73" t="str">
        <v>1元/张</v>
      </c>
      <c r="H35" s="71"/>
      <c r="I35" s="74"/>
      <c r="J35" s="73" t="str">
        <v>为了准确快捷入库，请尽量配合贴好入仓标签/FBA标签/SKU标签等，因未贴标签或未及时告知导致仓库未能及时入库延误船期的我司概不负责</v>
      </c>
      <c r="K35" s="71"/>
      <c r="L35" s="71"/>
      <c r="M35" s="71"/>
      <c r="N35" s="71"/>
      <c r="O35" s="71"/>
      <c r="P35" s="74"/>
    </row>
    <row customHeight="true" ht="38" r="36">
      <c r="A36" s="73" t="str">
        <v>报价未注明的产品，请将提供产品信息给我司客服或业务进行核实是否有附加费</v>
      </c>
      <c r="B36" s="71"/>
      <c r="C36" s="71"/>
      <c r="D36" s="71"/>
      <c r="E36" s="71"/>
      <c r="F36" s="71"/>
      <c r="G36" s="99" t="str">
        <v>待确定</v>
      </c>
      <c r="H36" s="100"/>
      <c r="I36" s="98"/>
      <c r="J36" s="72" t="str">
        <v>因美对华加增2000亿美金关税影响，请单独询问销售</v>
      </c>
      <c r="K36" s="72"/>
      <c r="L36" s="72"/>
      <c r="M36" s="72"/>
      <c r="N36" s="72"/>
      <c r="O36" s="72"/>
      <c r="P36" s="72"/>
    </row>
    <row customHeight="true" ht="38" r="37">
      <c r="A37" s="73" t="str">
        <v>汽车灯</v>
      </c>
      <c r="B37" s="71"/>
      <c r="C37" s="71"/>
      <c r="D37" s="71"/>
      <c r="E37" s="71"/>
      <c r="F37" s="71"/>
      <c r="G37" s="71"/>
      <c r="H37" s="71"/>
      <c r="I37" s="74"/>
      <c r="J37" s="73" t="str">
        <v>4元/kg，低消50元/票</v>
      </c>
      <c r="K37" s="71"/>
      <c r="L37" s="71"/>
      <c r="M37" s="71"/>
      <c r="N37" s="71"/>
      <c r="O37" s="71"/>
      <c r="P37" s="74"/>
    </row>
    <row customHeight="true" ht="38" r="38">
      <c r="A38" s="73" t="str">
        <v>普通带磁产品</v>
      </c>
      <c r="B38" s="71"/>
      <c r="C38" s="71"/>
      <c r="D38" s="71"/>
      <c r="E38" s="71"/>
      <c r="F38" s="71"/>
      <c r="G38" s="71"/>
      <c r="H38" s="71"/>
      <c r="I38" s="74"/>
      <c r="J38" s="73" t="str">
        <v>2元/KG，封顶200元</v>
      </c>
      <c r="K38" s="71"/>
      <c r="L38" s="71"/>
      <c r="M38" s="71"/>
      <c r="N38" s="71"/>
      <c r="O38" s="71"/>
      <c r="P38" s="74"/>
    </row>
    <row customHeight="true" ht="38" r="39">
      <c r="A39" s="73" t="str">
        <v>超5个品名；第6个品名开始收取</v>
      </c>
      <c r="B39" s="71"/>
      <c r="C39" s="71"/>
      <c r="D39" s="71"/>
      <c r="E39" s="71"/>
      <c r="F39" s="71"/>
      <c r="G39" s="71"/>
      <c r="H39" s="71"/>
      <c r="I39" s="74"/>
      <c r="J39" s="73" t="str">
        <v>50元/品名</v>
      </c>
      <c r="K39" s="71"/>
      <c r="L39" s="71"/>
      <c r="M39" s="71"/>
      <c r="N39" s="71"/>
      <c r="O39" s="71"/>
      <c r="P39" s="74"/>
    </row>
    <row customHeight="true" ht="38" r="40">
      <c r="A40" s="73" t="str">
        <v>马达，电机类产品</v>
      </c>
      <c r="B40" s="71"/>
      <c r="C40" s="71"/>
      <c r="D40" s="71"/>
      <c r="E40" s="71"/>
      <c r="F40" s="71"/>
      <c r="G40" s="71"/>
      <c r="H40" s="71"/>
      <c r="I40" s="74"/>
      <c r="J40" s="73" t="str">
        <v>500元/品名</v>
      </c>
      <c r="K40" s="71"/>
      <c r="L40" s="71"/>
      <c r="M40" s="71"/>
      <c r="N40" s="71"/>
      <c r="O40" s="71"/>
      <c r="P40" s="74"/>
    </row>
    <row customHeight="true" ht="38" r="41">
      <c r="A41" s="73" t="str">
        <v>木、竹、藤制品</v>
      </c>
      <c r="B41" s="71"/>
      <c r="C41" s="71"/>
      <c r="D41" s="71"/>
      <c r="E41" s="71"/>
      <c r="F41" s="71"/>
      <c r="G41" s="71"/>
      <c r="H41" s="71"/>
      <c r="I41" s="74"/>
      <c r="J41" s="73" t="str">
        <v>100元/票</v>
      </c>
      <c r="K41" s="71"/>
      <c r="L41" s="71"/>
      <c r="M41" s="71"/>
      <c r="N41" s="71"/>
      <c r="O41" s="71"/>
      <c r="P41" s="74"/>
    </row>
    <row customHeight="true" ht="38" r="42">
      <c r="A42" s="73" t="str">
        <v>针对原木产品或原木包装</v>
      </c>
      <c r="B42" s="71"/>
      <c r="C42" s="71"/>
      <c r="D42" s="71"/>
      <c r="E42" s="71"/>
      <c r="F42" s="71"/>
      <c r="G42" s="71"/>
      <c r="H42" s="71"/>
      <c r="I42" s="74"/>
      <c r="J42" s="73" t="str">
        <v>800元/票</v>
      </c>
      <c r="K42" s="71"/>
      <c r="L42" s="71"/>
      <c r="M42" s="71"/>
      <c r="N42" s="71"/>
      <c r="O42" s="71"/>
      <c r="P42" s="74"/>
    </row>
    <row customHeight="true" ht="38" r="43">
      <c r="A43" s="73" t="str">
        <v>针对需做FDA申报的产品</v>
      </c>
      <c r="B43" s="71"/>
      <c r="C43" s="71"/>
      <c r="D43" s="71"/>
      <c r="E43" s="71"/>
      <c r="F43" s="71"/>
      <c r="G43" s="71"/>
      <c r="H43" s="71"/>
      <c r="I43" s="74"/>
      <c r="J43" s="73" t="str">
        <v>100元/品名</v>
      </c>
      <c r="K43" s="71"/>
      <c r="L43" s="71"/>
      <c r="M43" s="71"/>
      <c r="N43" s="71"/>
      <c r="O43" s="71"/>
      <c r="P43" s="74"/>
    </row>
    <row customHeight="true" ht="55" r="44">
      <c r="A44" s="121" t="str">
        <v>偏远地址单询</v>
      </c>
      <c r="B44" s="122"/>
      <c r="C44" s="122"/>
      <c r="D44" s="122"/>
      <c r="E44" s="122"/>
      <c r="F44" s="122"/>
      <c r="G44" s="73" t="str">
        <v>快递派超限附加费：单件实重不可超过22KG,超过22KG或单边长超过110cm，或次长超过76cm加收160RMB/件，周长超260CM加收180元/件
卡派超限附加费：最长边不可超过120CM,次长边不可超过100CM，单箱实重超过30KG单询</v>
      </c>
      <c r="H44" s="71"/>
      <c r="I44" s="71"/>
      <c r="J44" s="71"/>
      <c r="K44" s="71"/>
      <c r="L44" s="71"/>
      <c r="M44" s="71"/>
      <c r="N44" s="71"/>
      <c r="O44" s="71"/>
      <c r="P44" s="74"/>
    </row>
    <row customHeight="true" ht="28" r="45">
      <c r="A45" s="72" t="str">
        <v>单证报关货物单票101KG起收，报关费250元/票；单票超5个品名以上+50RMB/个，更改地址费100USD/票（不保证一定成功）</v>
      </c>
      <c r="B45" s="72"/>
      <c r="C45" s="72"/>
      <c r="D45" s="72"/>
      <c r="E45" s="72"/>
      <c r="F45" s="72"/>
      <c r="G45" s="72"/>
      <c r="H45" s="72"/>
      <c r="I45" s="72"/>
      <c r="J45" s="72"/>
      <c r="K45" s="72"/>
      <c r="L45" s="72"/>
      <c r="M45" s="72"/>
      <c r="N45" s="72"/>
      <c r="O45" s="72"/>
      <c r="P45" s="72"/>
    </row>
    <row customHeight="true" ht="43" r="46">
      <c r="A46" s="72" t="str">
        <v>以上为双清含税价，包含清关费。关税及当地UPS/Fedex到门派送服务费用。
温馨提示：请按我司提供的样板提供电子版发票和装箱单，如因发票申报不符造成的无法清关，我司概不负责（清关延误不算在正常派送日内）</v>
      </c>
      <c r="B46" s="72"/>
      <c r="C46" s="72"/>
      <c r="D46" s="72"/>
      <c r="E46" s="72"/>
      <c r="F46" s="72"/>
      <c r="G46" s="72"/>
      <c r="H46" s="72"/>
      <c r="I46" s="72"/>
      <c r="J46" s="72"/>
      <c r="K46" s="72"/>
      <c r="L46" s="72"/>
      <c r="M46" s="72"/>
      <c r="N46" s="72"/>
      <c r="O46" s="72"/>
      <c r="P46" s="72"/>
    </row>
  </sheetData>
  <mergeCells>
    <mergeCell ref="A2:P2"/>
    <mergeCell ref="A3:P3"/>
    <mergeCell ref="A4:B4"/>
    <mergeCell ref="C4:F4"/>
    <mergeCell ref="G4:J4"/>
    <mergeCell ref="K4:N4"/>
    <mergeCell ref="O4:P4"/>
    <mergeCell ref="A5:B5"/>
    <mergeCell ref="O5:P5"/>
    <mergeCell ref="A6:B6"/>
    <mergeCell ref="A7:B7"/>
    <mergeCell ref="A8:B8"/>
    <mergeCell ref="A9:B9"/>
    <mergeCell ref="A10:P10"/>
    <mergeCell ref="A11:B11"/>
    <mergeCell ref="C11:F11"/>
    <mergeCell ref="G11:J11"/>
    <mergeCell ref="K11:N11"/>
    <mergeCell ref="O11:P11"/>
    <mergeCell ref="A12:B12"/>
    <mergeCell ref="C12:D12"/>
    <mergeCell ref="G12:H12"/>
    <mergeCell ref="K12:L12"/>
    <mergeCell ref="O12:P12"/>
    <mergeCell ref="A13:B13"/>
    <mergeCell ref="C13:D13"/>
    <mergeCell ref="G13:H13"/>
    <mergeCell ref="K13:L13"/>
    <mergeCell ref="O13:P13"/>
    <mergeCell ref="A14:B14"/>
    <mergeCell ref="C14:D14"/>
    <mergeCell ref="G14:H14"/>
    <mergeCell ref="K14:L14"/>
    <mergeCell ref="O14:P14"/>
    <mergeCell ref="A15:I15"/>
    <mergeCell ref="J15:P15"/>
    <mergeCell ref="A16:P16"/>
    <mergeCell ref="A17:P17"/>
    <mergeCell ref="A18:B18"/>
    <mergeCell ref="C18:F18"/>
    <mergeCell ref="G18:J18"/>
    <mergeCell ref="K18:N18"/>
    <mergeCell ref="O18:P18"/>
    <mergeCell ref="A19:B19"/>
    <mergeCell ref="O19:P19"/>
    <mergeCell ref="A20:B20"/>
    <mergeCell ref="A21:B21"/>
    <mergeCell ref="A22:B22"/>
    <mergeCell ref="A23:B23"/>
    <mergeCell ref="A24:P24"/>
    <mergeCell ref="A25:P25"/>
    <mergeCell ref="A26:P26"/>
    <mergeCell ref="A27:P27"/>
    <mergeCell ref="A28:P28"/>
    <mergeCell ref="A29:P29"/>
    <mergeCell ref="A30:P30"/>
    <mergeCell ref="A31:F31"/>
    <mergeCell ref="G31:I31"/>
    <mergeCell ref="J31:P31"/>
    <mergeCell ref="A32:F32"/>
    <mergeCell ref="G32:I32"/>
    <mergeCell ref="J32:P32"/>
    <mergeCell ref="A33:F33"/>
    <mergeCell ref="G33:I33"/>
    <mergeCell ref="J33:P33"/>
    <mergeCell ref="A34:F34"/>
    <mergeCell ref="G34:I34"/>
    <mergeCell ref="J34:P34"/>
    <mergeCell ref="A35:F35"/>
    <mergeCell ref="G35:I35"/>
    <mergeCell ref="J35:P35"/>
    <mergeCell ref="A36:F36"/>
    <mergeCell ref="G36:I36"/>
    <mergeCell ref="J36:P36"/>
    <mergeCell ref="A37:I37"/>
    <mergeCell ref="J37:P37"/>
    <mergeCell ref="A38:I38"/>
    <mergeCell ref="J38:P38"/>
    <mergeCell ref="A39:I39"/>
    <mergeCell ref="J39:P39"/>
    <mergeCell ref="A40:I40"/>
    <mergeCell ref="J40:P40"/>
    <mergeCell ref="A41:I41"/>
    <mergeCell ref="J41:P41"/>
    <mergeCell ref="A42:I42"/>
    <mergeCell ref="J42:P42"/>
    <mergeCell ref="A43:I43"/>
    <mergeCell ref="J43:P43"/>
    <mergeCell ref="A44:F44"/>
    <mergeCell ref="G44:P44"/>
    <mergeCell ref="A45:P45"/>
    <mergeCell ref="A46:P46"/>
    <mergeCell ref="O6:P9"/>
    <mergeCell ref="O20:P23"/>
  </mergeCells>
  <drawing r:id="rId1"/>
  <picture r:id="rId2"/>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0000"/>
    <outlinePr summaryBelow="false" summaryRight="false"/>
  </sheetPr>
  <dimension ref="A1"/>
  <sheetViews>
    <sheetView showGridLines="false" workbookViewId="0"/>
  </sheetViews>
  <sheetFormatPr defaultColWidth="14" defaultRowHeight="19"/>
  <cols>
    <col collapsed="false" customWidth="true" hidden="false" max="1" min="1" style="0" width="9"/>
    <col collapsed="false" customWidth="true" hidden="false" max="2" min="2" style="0" width="23"/>
    <col collapsed="false" customWidth="true" hidden="false" max="3" min="3" style="0" width="27"/>
    <col collapsed="false" customWidth="true" hidden="false" max="4" min="4" style="0" width="24"/>
    <col collapsed="false" customWidth="true" hidden="false" max="5" min="5" style="0" width="51"/>
    <col collapsed="false" customWidth="true" hidden="false" max="6" min="6" style="0" width="49"/>
    <col collapsed="false" customWidth="true" hidden="false" max="7" min="7" style="0" width="27"/>
    <col collapsed="false" customWidth="true" hidden="false" max="8" min="8" style="0" width="27"/>
    <col collapsed="false" customWidth="true" hidden="false" max="9" min="9" style="0" width="16"/>
    <col collapsed="false" customWidth="true" hidden="false" max="10" min="10" style="0" width="16"/>
    <col collapsed="false" customWidth="true" hidden="false" max="11" min="11" style="0" width="16"/>
    <col collapsed="false" customWidth="true" hidden="false" max="12" min="12" style="0" width="16"/>
    <col collapsed="false" customWidth="true" hidden="false" max="13" min="13" style="0" width="16"/>
    <col collapsed="false" customWidth="true" hidden="false" max="14" min="14" style="0" width="16"/>
    <col collapsed="false" customWidth="true" hidden="false" max="15" min="15" style="0" width="16"/>
    <col collapsed="false" customWidth="true" hidden="false" max="16" min="16" style="0" width="16"/>
    <col collapsed="false" customWidth="true" hidden="false" max="17" min="17" style="0" width="16"/>
    <col collapsed="false" customWidth="true" hidden="false" max="18" min="18" style="0" width="13"/>
    <col collapsed="false" customWidth="true" hidden="false" max="19" min="19" style="0" width="13"/>
    <col collapsed="false" customWidth="true" hidden="false" max="20" min="20" style="0" width="13"/>
    <col collapsed="false" customWidth="true" hidden="false" max="21" min="21" style="0" width="13"/>
    <col collapsed="false" customWidth="true" hidden="false" max="22" min="22" style="0" width="13"/>
    <col collapsed="false" customWidth="true" hidden="false" max="23" min="23" style="0" width="13"/>
    <col collapsed="false" customWidth="true" hidden="false" max="24" min="24" style="0" width="13"/>
    <col collapsed="false" customWidth="true" hidden="false" max="25" min="25" style="0" width="13"/>
    <col collapsed="false" customWidth="true" hidden="false" max="26" min="26" style="0" width="13"/>
    <col collapsed="false" customWidth="true" hidden="false" max="27" min="27" style="0" width="13"/>
    <col collapsed="false" customWidth="true" hidden="false" max="28" min="28" style="0" width="13"/>
    <col collapsed="false" customWidth="true" hidden="false" max="29" min="29" style="0" width="13"/>
    <col collapsed="false" customWidth="true" hidden="false" max="30" min="30" style="0" width="13"/>
    <col collapsed="false" customWidth="true" hidden="false" max="31" min="31" style="0" width="13"/>
    <col collapsed="false" customWidth="true" hidden="false" max="32" min="32" style="0" width="13"/>
    <col collapsed="false" customWidth="true" hidden="false" max="33" min="33" style="0" width="13"/>
    <col collapsed="false" customWidth="true" hidden="false" max="34" min="34" style="0" width="13"/>
    <col collapsed="false" customWidth="true" hidden="false" max="35" min="35" style="0" width="13"/>
    <col collapsed="false" customWidth="true" hidden="false" max="36" min="36" style="0" width="13"/>
    <col collapsed="false" customWidth="true" hidden="false" max="37" min="37" style="0" width="13"/>
    <col collapsed="false" customWidth="true" hidden="false" max="38" min="38" style="0" width="13"/>
    <col collapsed="false" customWidth="true" hidden="false" max="39" min="39" style="0" width="13"/>
    <col collapsed="false" customWidth="true" hidden="false" max="40" min="40" style="0" width="13"/>
    <col collapsed="false" customWidth="true" hidden="false" max="41" min="41" style="0" width="13"/>
    <col collapsed="false" customWidth="true" hidden="false" max="42" min="42" style="0" width="13"/>
    <col collapsed="false" customWidth="true" hidden="false" max="43" min="43" style="0" width="13"/>
    <col collapsed="false" customWidth="true" hidden="false" max="44" min="44" style="0" width="13"/>
    <col collapsed="false" customWidth="true" hidden="false" max="45" min="45" style="0" width="13"/>
    <col collapsed="false" customWidth="true" hidden="false" max="46" min="46" style="0" width="13"/>
    <col collapsed="false" customWidth="true" hidden="false" max="47" min="47" style="0" width="13"/>
    <col collapsed="false" customWidth="true" hidden="false" max="48" min="48" style="0" width="13"/>
    <col collapsed="false" customWidth="true" hidden="false" max="49" min="49" style="0" width="13"/>
    <col collapsed="false" customWidth="true" hidden="false" max="50" min="50" style="0" width="13"/>
    <col collapsed="false" customWidth="true" hidden="false" max="51" min="51" style="0" width="13"/>
    <col collapsed="false" customWidth="true" hidden="false" max="52" min="52" style="0" width="13"/>
    <col collapsed="false" customWidth="true" hidden="false" max="53" min="53" style="0" width="13"/>
    <col collapsed="false" customWidth="true" hidden="false" max="54" min="54" style="0" width="13"/>
    <col collapsed="false" customWidth="true" hidden="false" max="55" min="55" style="0" width="13"/>
    <col collapsed="false" customWidth="true" hidden="false" max="56" min="56" style="0" width="13"/>
    <col collapsed="false" customWidth="true" hidden="false" max="57" min="57" style="0" width="13"/>
    <col collapsed="false" customWidth="true" hidden="false" max="58" min="58" style="0" width="13"/>
    <col collapsed="false" customWidth="true" hidden="false" max="59" min="59" style="0" width="13"/>
    <col collapsed="false" customWidth="true" hidden="false" max="60" min="60" style="0" width="10"/>
    <col collapsed="false" customWidth="true" hidden="false" max="61" min="61" style="0" width="10"/>
    <col collapsed="false" customWidth="true" hidden="false" max="62" min="62" style="0" width="10"/>
    <col collapsed="false" customWidth="true" hidden="false" max="63" min="63" style="0" width="10"/>
    <col collapsed="false" customWidth="true" hidden="false" max="64" min="64" style="0" width="16"/>
    <col collapsed="false" customWidth="true" hidden="true" max="64" min="64" style="0" width="16"/>
    <col collapsed="false" customWidth="true" hidden="false" max="65" min="65" style="0" width="16"/>
    <col collapsed="false" customWidth="true" hidden="true" max="65" min="65" style="0" width="16"/>
    <col collapsed="false" customWidth="true" hidden="false" max="66" min="66" style="0" width="16"/>
    <col collapsed="false" customWidth="true" hidden="true" max="66" min="66" style="0" width="16"/>
    <col collapsed="false" customWidth="true" hidden="false" max="67" min="67" style="0" width="38"/>
    <col collapsed="false" customWidth="true" hidden="true" max="67" min="67" style="0" width="38"/>
    <col collapsed="false" customWidth="true" hidden="false" max="68" min="68" style="0" width="37"/>
    <col collapsed="false" customWidth="true" hidden="true" max="68" min="68" style="0" width="37"/>
    <col collapsed="false" customWidth="true" hidden="false" max="69" min="69" style="0" width="26"/>
    <col collapsed="false" customWidth="true" hidden="true" max="69" min="69" style="0" width="26"/>
  </cols>
  <sheetData>
    <row customHeight="true" ht="95" r="1"/>
    <row customHeight="true" ht="47" r="2">
      <c r="A2" s="92"/>
      <c r="B2" s="175" t="str">
        <v>渠道价格快速查找</v>
      </c>
      <c r="C2" s="176"/>
      <c r="D2" s="176"/>
      <c r="E2" s="176"/>
      <c r="F2" s="176"/>
      <c r="G2" s="177"/>
      <c r="H2" s="173"/>
      <c r="I2" s="173"/>
      <c r="J2" s="173"/>
      <c r="K2" s="173"/>
      <c r="L2" s="173"/>
      <c r="M2" s="173"/>
      <c r="N2" s="173"/>
      <c r="O2" s="173"/>
      <c r="P2" s="173"/>
      <c r="Q2" s="173"/>
      <c r="R2" s="173"/>
      <c r="S2" s="173"/>
      <c r="T2" s="173"/>
      <c r="U2" s="173"/>
      <c r="V2" s="173"/>
      <c r="W2" s="173"/>
      <c r="X2" s="173"/>
      <c r="Y2" s="173"/>
      <c r="Z2" s="173"/>
      <c r="AA2" s="173"/>
      <c r="AB2" s="173"/>
      <c r="AC2" s="173"/>
      <c r="AD2" s="173"/>
      <c r="AE2" s="173"/>
      <c r="AF2" s="173"/>
      <c r="AG2" s="173"/>
      <c r="AH2" s="173"/>
      <c r="AI2" s="173"/>
      <c r="AJ2" s="173"/>
      <c r="AK2" s="173"/>
      <c r="AL2" s="173"/>
      <c r="AM2" s="173"/>
      <c r="AN2" s="173"/>
      <c r="AO2" s="173"/>
      <c r="AP2" s="173"/>
      <c r="AQ2" s="173"/>
      <c r="AR2" s="173"/>
      <c r="AS2" s="173"/>
      <c r="AT2" s="173"/>
      <c r="AU2" s="173"/>
      <c r="AV2" s="173"/>
      <c r="AW2" s="173"/>
      <c r="AX2" s="173"/>
      <c r="AY2" s="173"/>
      <c r="AZ2" s="173"/>
      <c r="BA2" s="173"/>
      <c r="BB2" s="173"/>
      <c r="BC2" s="173"/>
      <c r="BD2" s="173"/>
      <c r="BE2" s="173"/>
      <c r="BF2" s="173"/>
      <c r="BG2" s="173"/>
      <c r="BH2" s="92"/>
      <c r="BI2" s="92"/>
      <c r="BJ2" s="92"/>
      <c r="BK2" s="92"/>
      <c r="BL2" s="174"/>
      <c r="BM2" s="174"/>
      <c r="BN2" s="174"/>
      <c r="BO2" s="174" t="str">
        <v>渠道价格快速查找</v>
      </c>
      <c r="BP2" s="174"/>
      <c r="BQ2" s="174"/>
    </row>
    <row customHeight="true" ht="33" r="3">
      <c r="A3" s="92"/>
      <c r="B3" s="170" t="str">
        <v>输入右边信息</v>
      </c>
      <c r="C3" s="168" t="str">
        <v>国内交货仓</v>
      </c>
      <c r="D3" s="168" t="str">
        <v>平台</v>
      </c>
      <c r="E3" s="168" t="str">
        <v>目的仓/邮编开头</v>
      </c>
      <c r="F3" s="168" t="str">
        <v>计费方式</v>
      </c>
      <c r="G3" s="168" t="str">
        <v>送仓方式</v>
      </c>
      <c r="H3" s="92"/>
      <c r="I3" s="156"/>
      <c r="J3" s="156"/>
      <c r="K3" s="156"/>
      <c r="L3" s="156"/>
      <c r="M3" s="156"/>
      <c r="N3" s="156"/>
      <c r="O3" s="156"/>
      <c r="P3" s="156"/>
      <c r="Q3" s="156"/>
      <c r="R3" s="156"/>
      <c r="S3" s="156"/>
      <c r="T3" s="156"/>
      <c r="U3" s="156"/>
      <c r="V3" s="156"/>
      <c r="W3" s="156"/>
      <c r="X3" s="156"/>
      <c r="Y3" s="156"/>
      <c r="Z3" s="156"/>
      <c r="AA3" s="156"/>
      <c r="AB3" s="156"/>
      <c r="AC3" s="156"/>
      <c r="AD3" s="156"/>
      <c r="AE3" s="156"/>
      <c r="AF3" s="156"/>
      <c r="AG3" s="156"/>
      <c r="AH3" s="156"/>
      <c r="AI3" s="156"/>
      <c r="AJ3" s="156"/>
      <c r="AK3" s="156"/>
      <c r="AL3" s="156"/>
      <c r="AM3" s="156"/>
      <c r="AN3" s="156"/>
      <c r="AO3" s="156"/>
      <c r="AP3" s="156"/>
      <c r="AQ3" s="156"/>
      <c r="AR3" s="156"/>
      <c r="AS3" s="156"/>
      <c r="AT3" s="156"/>
      <c r="AU3" s="156"/>
      <c r="AV3" s="156"/>
      <c r="AW3" s="156"/>
      <c r="AX3" s="156"/>
      <c r="AY3" s="156"/>
      <c r="AZ3" s="156"/>
      <c r="BA3" s="156"/>
      <c r="BB3" s="156"/>
      <c r="BC3" s="156"/>
      <c r="BD3" s="156"/>
      <c r="BE3" s="156"/>
      <c r="BF3" s="156"/>
      <c r="BG3" s="156"/>
      <c r="BH3" s="92"/>
      <c r="BI3" s="92"/>
      <c r="BJ3" s="92"/>
      <c r="BK3" s="92"/>
      <c r="BL3" s="171" t="str">
        <v>输入右边信息</v>
      </c>
      <c r="BM3" s="168" t="str">
        <v>国内交货仓</v>
      </c>
      <c r="BN3" s="168"/>
      <c r="BO3" s="169" t="str">
        <v>目的仓/邮编开头</v>
      </c>
      <c r="BP3" s="169" t="str">
        <v>计费方式</v>
      </c>
      <c r="BQ3" s="167" t="str">
        <v>送仓方式</v>
      </c>
    </row>
    <row customHeight="true" ht="47" r="4">
      <c r="A4" s="92"/>
      <c r="B4" s="163"/>
      <c r="C4" s="159" t="str">
        <v>珠三角</v>
      </c>
      <c r="D4" s="159" t="str">
        <v>亚马逊</v>
      </c>
      <c r="E4" s="159">
        <v>8</v>
      </c>
      <c r="F4" s="159" t="str">
        <v>KG</v>
      </c>
      <c r="G4" s="159" t="str">
        <v>卡派</v>
      </c>
      <c r="H4" s="92"/>
      <c r="I4" s="156"/>
      <c r="J4" s="156"/>
      <c r="K4" s="156"/>
      <c r="L4" s="156"/>
      <c r="M4" s="156"/>
      <c r="N4" s="156"/>
      <c r="O4" s="156"/>
      <c r="P4" s="156"/>
      <c r="Q4" s="156"/>
      <c r="R4" s="156"/>
      <c r="S4" s="156"/>
      <c r="T4" s="156"/>
      <c r="U4" s="156"/>
      <c r="V4" s="156"/>
      <c r="W4" s="156"/>
      <c r="X4" s="156"/>
      <c r="Y4" s="156"/>
      <c r="Z4" s="156"/>
      <c r="AA4" s="156"/>
      <c r="AB4" s="156"/>
      <c r="AC4" s="156"/>
      <c r="AD4" s="156"/>
      <c r="AE4" s="156"/>
      <c r="AF4" s="156"/>
      <c r="AG4" s="156"/>
      <c r="AH4" s="156"/>
      <c r="AI4" s="156"/>
      <c r="AJ4" s="156"/>
      <c r="AK4" s="156"/>
      <c r="AL4" s="156"/>
      <c r="AM4" s="156"/>
      <c r="AN4" s="156"/>
      <c r="AO4" s="156"/>
      <c r="AP4" s="156"/>
      <c r="AQ4" s="156"/>
      <c r="AR4" s="156"/>
      <c r="AS4" s="156"/>
      <c r="AT4" s="156"/>
      <c r="AU4" s="156"/>
      <c r="AV4" s="156"/>
      <c r="AW4" s="156"/>
      <c r="AX4" s="156"/>
      <c r="AY4" s="156"/>
      <c r="AZ4" s="156"/>
      <c r="BA4" s="156"/>
      <c r="BB4" s="156"/>
      <c r="BC4" s="156"/>
      <c r="BD4" s="156"/>
      <c r="BE4" s="156"/>
      <c r="BF4" s="156"/>
      <c r="BG4" s="156"/>
      <c r="BH4" s="92"/>
      <c r="BI4" s="92"/>
      <c r="BJ4" s="92"/>
      <c r="BK4" s="92"/>
      <c r="BL4" s="157"/>
      <c r="BM4" s="160">
        <f>C4</f>
      </c>
      <c r="BN4" s="161">
        <f>D4</f>
      </c>
      <c r="BO4" s="162">
        <f>E4</f>
      </c>
      <c r="BP4" s="164">
        <f>F4</f>
      </c>
      <c r="BQ4" s="158">
        <f>G4</f>
      </c>
    </row>
    <row customHeight="true" ht="47" r="5">
      <c r="A5" s="92"/>
      <c r="B5" s="179" t="str">
        <v>渠道</v>
      </c>
      <c r="C5" s="178" t="str">
        <v>渠道单价
(KG/CBM)</v>
      </c>
      <c r="D5" s="178" t="str">
        <v>参考时效
（开船后）</v>
      </c>
      <c r="E5" s="178" t="str">
        <v>ETD</v>
      </c>
      <c r="F5" s="178" t="str">
        <v>ETA</v>
      </c>
      <c r="G5" s="178" t="str">
        <v>航行日</v>
      </c>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92"/>
      <c r="AZ5" s="92"/>
      <c r="BA5" s="92"/>
      <c r="BB5" s="92"/>
      <c r="BC5" s="92"/>
      <c r="BD5" s="92"/>
      <c r="BE5" s="92"/>
      <c r="BF5" s="92"/>
      <c r="BG5" s="92"/>
      <c r="BH5" s="92"/>
      <c r="BI5" s="92"/>
      <c r="BJ5" s="92"/>
      <c r="BK5" s="92"/>
      <c r="BL5" s="96" t="str">
        <v>渠道</v>
      </c>
      <c r="BM5" s="126" t="str">
        <v>渠道单价
(KG/CBM)</v>
      </c>
      <c r="BN5" s="154" t="str">
        <v>参考时效
（开船后）</v>
      </c>
      <c r="BO5" s="154" t="str">
        <v>ETD</v>
      </c>
      <c r="BP5" s="124" t="str">
        <v>ETA</v>
      </c>
      <c r="BQ5" s="180" t="str">
        <v>航行日</v>
      </c>
    </row>
    <row customHeight="true" ht="105" r="6">
      <c r="A6" s="92"/>
      <c r="B6" s="155" t="str">
        <v>美森360</v>
      </c>
      <c r="C6" s="106">
        <f>BM6</f>
      </c>
      <c r="D6" s="106">
        <f>BN6</f>
      </c>
      <c r="E6" s="153">
        <f>BO6</f>
      </c>
      <c r="F6" s="106">
        <f>BP6</f>
      </c>
      <c r="G6" s="106">
        <f>BQ6</f>
      </c>
      <c r="H6" s="92"/>
      <c r="I6" s="151"/>
      <c r="J6" s="151"/>
      <c r="K6" s="151"/>
      <c r="L6" s="151"/>
      <c r="M6" s="151"/>
      <c r="N6" s="151"/>
      <c r="O6" s="151"/>
      <c r="P6" s="92"/>
      <c r="Q6" s="92"/>
      <c r="R6" s="92"/>
      <c r="S6" s="92"/>
      <c r="T6" s="92"/>
      <c r="U6" s="92"/>
      <c r="V6" s="92"/>
      <c r="W6" s="92"/>
      <c r="X6" s="92"/>
      <c r="Y6" s="92"/>
      <c r="Z6" s="92"/>
      <c r="AA6" s="92"/>
      <c r="AB6" s="92"/>
      <c r="AC6" s="92"/>
      <c r="AD6" s="92"/>
      <c r="AE6" s="92"/>
      <c r="AF6" s="92"/>
      <c r="AG6" s="92"/>
      <c r="AH6" s="92"/>
      <c r="AI6" s="92"/>
      <c r="AJ6" s="92"/>
      <c r="AK6" s="92"/>
      <c r="AL6" s="92"/>
      <c r="AM6" s="92"/>
      <c r="AN6" s="92"/>
      <c r="AO6" s="92"/>
      <c r="AP6" s="92"/>
      <c r="AQ6" s="92"/>
      <c r="AR6" s="92"/>
      <c r="AS6" s="92"/>
      <c r="AT6" s="92"/>
      <c r="AU6" s="92"/>
      <c r="AV6" s="92"/>
      <c r="AW6" s="92"/>
      <c r="AX6" s="92"/>
      <c r="AY6" s="92"/>
      <c r="AZ6" s="92"/>
      <c r="BA6" s="92"/>
      <c r="BB6" s="92"/>
      <c r="BC6" s="92"/>
      <c r="BD6" s="92"/>
      <c r="BE6" s="92"/>
      <c r="BF6" s="92"/>
      <c r="BG6" s="92"/>
      <c r="BH6" s="92"/>
      <c r="BI6" s="92"/>
      <c r="BJ6" s="92"/>
      <c r="BK6" s="92"/>
      <c r="BL6" s="106" t="str">
        <v>美森360</v>
      </c>
      <c r="BM6" s="106">
        <f>IFERROR(IF(E4="","-",IF(AND($G$4="卡派",$F$4="KG",$C$4="珠三角",$D$4="亚马逊"),CONCATENATE("8KG+："&amp;VLOOKUP("*"&amp;$E$4&amp;"*",'美西特快专线'!$A$6:$E$18,2,0),"                            101KG+："&amp;VLOOKUP("*"&amp;$E$4&amp;"*",'美西特快专线'!$A$6:$E$18,3,0)),IF(AND($G$4="卡派",$F$4="KG",$C$4="汕头仓",$D$4="亚马逊"),CONCATENATE("8KG+："&amp;VLOOKUP("*"&amp;$E$4&amp;"*",'美西特快专线'!$A$6:$E$18,2,0),"                            101KG+："&amp;VLOOKUP("*"&amp;$E$4&amp;"*",'美西特快专线'!$A$6:$E$18,3,0)),IF(AND($G$4="卡派",$F$4="KG",$C$4="义乌仓",$D$4="亚马逊"),CONCATENATE("8KG+："&amp;VLOOKUP("*"&amp;$E$4&amp;"*",'美西特快专线'!$A$6:$E$18,4,0),"                            101KG+："&amp;VLOOKUP("*"&amp;$E$4&amp;"*",'美西特快专线'!$A$6:$E$18,5,0)),IF(AND($G$4="卡派",$F$4="按方不包税",$C$4="珠三角",$D$4="亚马逊"),CONCATENATE("2CBM+："&amp;VLOOKUP("*"&amp;$E$4&amp;"*",'按方不包税'!$A$6:$C$12,2,0)),IF(AND($G$4="卡派",$F$4="按方不包税",$C$4="汕头仓",$D$4="亚马逊"),CONCATENATE("2CBM+："&amp;VLOOKUP("*"&amp;$E$4&amp;"*",'按方不包税'!$A$6:$C$12,2,0)),IF(AND($G$4="卡派",$F$4="按方不包税",$C$4="义乌仓",$D$4="亚马逊"),CONCATENATE("2CBM+："&amp;VLOOKUP("*"&amp;$E$4&amp;"*",'按方不包税'!$A$6:$C$12,3,0)),IF(AND($G$4="卡派",$F$4="KG",$C$4="珠三角",$D$4="沃尔玛专线"),CONCATENATE("501KG+："&amp;VLOOKUP("*"&amp;$E$4&amp;"*",'沃尔玛专线'!$A$6:$G$7,4,0),"                            3001KG+："&amp;VLOOKUP("*"&amp;$E$4&amp;"*",'沃尔玛专线'!$A$6:$G$7,5,0),"                            5001KG+："&amp;VLOOKUP("*"&amp;$E$4&amp;"*",'沃尔玛专线'!$A$6:$G$7,6,0)),IF(AND($G$4="卡派",$F$4="KG",$C$4="汕头仓",$D$4="沃尔玛专线"),CONCATENATE("501KG+："&amp;VLOOKUP("*"&amp;$E$4&amp;"*",'沃尔玛专线'!$A$6:$G$7,4,0),"                            3001KG+："&amp;VLOOKUP("*"&amp;$E$4&amp;"*",'沃尔玛专线'!$A$6:$G$7,5,0),"                            5001KG+："&amp;VLOOKUP("*"&amp;$E$4&amp;"*",'沃尔玛专线'!$A$6:$G$7,6,0)),IF(AND($G$4="卡派",$F$4="KG",$C$4="义乌仓",$D$4="沃尔玛专线"),CONCATENATE("501KG+："&amp;VLOOKUP("*"&amp;$E$4&amp;"*",'沃尔玛专线'!$A$6:$G$7,4,0),"                            3001KG+："&amp;VLOOKUP("*"&amp;$E$4&amp;"*",'沃尔玛专线'!$A$6:$G$7,5,0),"                            5001KG+："&amp;VLOOKUP("*"&amp;$E$4&amp;"*",'沃尔玛专线'!$A$6:$G$7,6,0)),IF(AND($G$4="快递派",$F$4="KG",$C$4="珠三角",$D$4="亚马逊"),CONCATENATE("12KG+："&amp;VLOOKUP("*"&amp;$E$4&amp;"*",'海运快递派'!$A$5:$E$8,3,0),"                            51KG+："&amp;VLOOKUP("*"&amp;$E$4&amp;"*",'海运快递派'!$A$5:$E$8,4,0),"                            101KG+："&amp;VLOOKUP("*"&amp;$E$4&amp;"*",'海运快递派'!$A$5:$E$8,5,0)),IF(AND($G$4="快递派",$F$4="KG",$C$4="汕头仓",$D$4="亚马逊"),CONCATENATE("12KG+："&amp;VLOOKUP("*"&amp;$E$4&amp;"*",'海运快递派'!$A$5:$E$8,3,0),"                            51KG+："&amp;VLOOKUP("*"&amp;$E$4&amp;"*",'海运快递派'!$A$5:$E$8,4,0),"                            101KG+："&amp;VLOOKUP("*"&amp;$E$4&amp;"*",'海运快递派'!$A$5:$E$8,5,0)),IF(AND($G$4="快递派",$F$4="KG",$C$4="义乌仓",$D$4="亚马逊"),CONCATENATE("12KG+："&amp;VLOOKUP("*"&amp;$E$4&amp;"*",'海运快递派'!$A$5:$E$8,3,0),"                            51KG+："&amp;VLOOKUP("*"&amp;$E$4&amp;"*",'海运快递派'!$A$5:$E$8,4,0),"                            101KG+："&amp;VLOOKUP("*"&amp;$E$4&amp;"*",'海运快递派'!$A$5:$E$8,5,0)),"-"))))))))))))),"-")</f>
      </c>
      <c r="BN6" s="106">
        <f>IFERROR(IF($E$4="","-",IF(AND($G$4="卡派",$F$4="KG",$C$4="珠三角",$D$4="亚马逊"),VLOOKUP("*"&amp;$E$4&amp;"*",'美西特快专线'!$A$6:$F$18,6,0),IF(AND($G$4="卡派",$F$4="KG",$C$4="汕头仓",$D$4="亚马逊"),VLOOKUP("*"&amp;$E$4&amp;"*",'美西特快专线'!$A$6:$F$18,6,0),IF(AND($G$4="卡派",$F$4="KG",$C$4="义乌仓",$D$4="亚马逊"),VLOOKUP("*"&amp;$E$4&amp;"*",'美西特快专线'!$A$6:$F$18,6,0),IF(AND($G$4="卡派",$F$4="按方不包税",$C$4="珠三角",$D$4="亚马逊"),VLOOKUP("*"&amp;$E$4&amp;"*",'按方不包税'!$A$6:$E$12,4,0),IF(AND($G$4="卡派",$F$4="按方不包税",$C$4="汕头仓",$D$4="亚马逊"),VLOOKUP("*"&amp;$E$4&amp;"*",'按方不包税'!$A$6:$E$12,4,0),IF(AND($G$4="卡派",$F$4="按方不包税",$C$4="义乌仓",$D$4="亚马逊"),VLOOKUP("*"&amp;$E$4&amp;"*",'按方不包税'!$A$6:$E$12,4,0),IF(AND($G$4="卡派",$F$4="KG",$C$4="珠三角",$D$4="沃尔玛专线"),VLOOKUP("*"&amp;$E$4&amp;"*",'沃尔玛专线'!$A$6:$G$7,7,0),IF(AND($G$4="卡派",$F$4="KG",$C$4="汕头仓",$D$4="沃尔玛专线"),VLOOKUP("*"&amp;$E$4&amp;"*",'沃尔玛专线'!$A$6:$G$7,7,0),IF(AND($G$4="卡派",$F$4="KG",$C$4="义乌仓",$D$4="沃尔玛专线"),VLOOKUP("*"&amp;$E$4&amp;"*",'沃尔玛专线'!$A$6:$G$7,7,0),IF(AND($G$4="快递派",$F$4="KG",$C$4="珠三角",$D$4="亚马逊"),VLOOKUP("*"&amp;$E$4&amp;"*",'海运快递派'!$A$5:$F$8,6,0),IF(AND($G$4="快递派",$F$4="KG",$C$4="汕头仓",$D$4="亚马逊"),VLOOKUP("*"&amp;$E$4&amp;"*",'海运快递派'!$A$5:$F$8,6,0),IF(AND($G$4="快递派",$F$4="KG",$C$4="义乌仓",$D$4="亚马逊"),VLOOKUP("*"&amp;$E$4&amp;"*",'海运快递派'!$A$5:$F$8,6,0),"-"))))))))))))),"-")</f>
      </c>
      <c r="BO6" s="172">
        <f>CONCATENATE('海运船期表'!$B$4,"-"&amp;'海运船期表'!$C$4," : ",TEXT('海运船期表'!$I$4,"MM-DD"))</f>
      </c>
      <c r="BP6" s="24">
        <f>CONCATENATE('海运船期表'!$B$4,"-"&amp;'海运船期表'!$C$4," : ",TEXT('海运船期表'!$J$4,"MM-DD"))</f>
      </c>
      <c r="BQ6" s="24">
        <f>'海运船期表'!$K$4</f>
      </c>
    </row>
    <row customHeight="true" ht="50" r="7">
      <c r="A7" s="92"/>
      <c r="B7" s="152" t="str">
        <v>美森432</v>
      </c>
      <c r="C7" s="126">
        <f>BM7</f>
      </c>
      <c r="D7" s="154">
        <f>BN7</f>
      </c>
      <c r="E7" s="154">
        <f>BO7</f>
      </c>
      <c r="F7" s="154">
        <f>BP7</f>
      </c>
      <c r="G7" s="154">
        <f>BQ7</f>
      </c>
      <c r="H7" s="92"/>
      <c r="I7" s="151"/>
      <c r="J7" s="151"/>
      <c r="K7" s="151"/>
      <c r="L7" s="151"/>
      <c r="M7" s="151"/>
      <c r="N7" s="151"/>
      <c r="O7" s="151"/>
      <c r="P7" s="92"/>
      <c r="Q7" s="92"/>
      <c r="R7" s="92"/>
      <c r="S7" s="92"/>
      <c r="T7" s="92"/>
      <c r="U7" s="92"/>
      <c r="V7" s="92"/>
      <c r="W7" s="92"/>
      <c r="X7" s="92"/>
      <c r="Y7" s="92"/>
      <c r="Z7" s="92"/>
      <c r="AA7" s="92"/>
      <c r="AB7" s="92"/>
      <c r="AC7" s="92"/>
      <c r="AD7" s="92"/>
      <c r="AE7" s="92"/>
      <c r="AF7" s="92"/>
      <c r="AG7" s="92"/>
      <c r="AH7" s="92"/>
      <c r="AI7" s="92"/>
      <c r="AJ7" s="92"/>
      <c r="AK7" s="92"/>
      <c r="AL7" s="92"/>
      <c r="AM7" s="92"/>
      <c r="AN7" s="92"/>
      <c r="AO7" s="92"/>
      <c r="AP7" s="92"/>
      <c r="AQ7" s="92"/>
      <c r="AR7" s="92"/>
      <c r="AS7" s="92"/>
      <c r="AT7" s="92"/>
      <c r="AU7" s="92"/>
      <c r="AV7" s="92"/>
      <c r="AW7" s="92"/>
      <c r="AX7" s="92"/>
      <c r="AY7" s="92"/>
      <c r="AZ7" s="92"/>
      <c r="BA7" s="92"/>
      <c r="BB7" s="92"/>
      <c r="BC7" s="92"/>
      <c r="BD7" s="92"/>
      <c r="BE7" s="92"/>
      <c r="BF7" s="92"/>
      <c r="BG7" s="92"/>
      <c r="BH7" s="92"/>
      <c r="BI7" s="92"/>
      <c r="BJ7" s="92"/>
      <c r="BK7" s="92"/>
      <c r="BL7" s="155" t="str">
        <v>美森432</v>
      </c>
      <c r="BM7" s="106">
        <f>IFERROR(IF(E4="","-",IF(AND($G$4="卡派",$F$4="KG",$C$4="珠三角",$D$4="亚马逊"),CONCATENATE("8KG+："&amp;VLOOKUP("*"&amp;$E$4&amp;"*",'美西特快专线'!$A$6:$M$18,9,0),"                            101KG+："&amp;VLOOKUP("*"&amp;$E$4&amp;"*",'美西特快专线'!$A$6:$M$18,10,0)),IF(AND($G$4="卡派",$F$4="KG",$C$4="汕头仓",$D$4="亚马逊"),CONCATENATE("8KG+："&amp;VLOOKUP("*"&amp;$E$4&amp;"*",'美西特快专线'!$A$6:$M$18,9,0),"                            101KG+："&amp;VLOOKUP("*"&amp;$E$4&amp;"*",'美西特快专线'!$A$6:$M$18,10,0)),IF(AND($G$4="卡派",$F$4="KG",$C$4="义乌仓",$D$4="亚马逊"),CONCATENATE("8KG+："&amp;VLOOKUP("*"&amp;$E$4&amp;"*",'美西特快专线'!$A$6:$M$18,11,0),"                            101KG+："&amp;VLOOKUP("*"&amp;$E$4&amp;"*",'美西特快专线'!$A$6:$M$18,12,0)),IF(AND($G$4="卡派",$F$4="按方不包税",$C$4="珠三角",$D$4="亚马逊"),CONCATENATE("2CBM+："&amp;VLOOKUP("*"&amp;$E$4&amp;"*",'按方不包税'!$A$17:$E$23,2,0)),IF(AND($G$4="卡派",$F$4="按方不包税",$C$4="汕头仓",$D$4="亚马逊"),CONCATENATE("2CBM+："&amp;VLOOKUP("*"&amp;$E$4&amp;"*",'按方不包税'!$A$17:$E$23,2,0)),IF(AND($G$4="卡派",$F$4="按方不包税",$C$4="义乌仓",$D$4="亚马逊"),CONCATENATE("2CBM+："&amp;VLOOKUP("*"&amp;$E$4&amp;"*",'按方不包税'!$A$17:$E$23,3,0)),IF(AND($G$4="卡派",$F$4="KG",$C$4="珠三角",$D$4="沃尔玛专线"),CONCATENATE("501KG+："&amp;VLOOKUP("*"&amp;$E$4&amp;"*",'沃尔玛专线'!$A$8:$G$9,4,0),"                            3001KG+："&amp;VLOOKUP("*"&amp;$E$4&amp;"*",'沃尔玛专线'!$A$8:$G$9,5,0),"                            5001KG+："&amp;VLOOKUP("*"&amp;$E$4&amp;"*",'沃尔玛专线'!$A$8:$G$9,6,0)),IF(AND($G$4="卡派",$F$4="KG",$C$4="汕头仓",$D$4="沃尔玛专线"),CONCATENATE("501KG+："&amp;VLOOKUP("*"&amp;$E$4&amp;"*",'沃尔玛专线'!$A$8:$G$9,4,0),"                            3001KG+："&amp;VLOOKUP("*"&amp;$E$4&amp;"*",'沃尔玛专线'!$A$8:$G$9,5,0),"                            5001KG+："&amp;VLOOKUP("*"&amp;$E$4&amp;"*",'沃尔玛专线'!$A$8:$G$9,6,0)),IF(AND($G$4="卡派",$F$4="KG",$C$4="义乌仓",$D$4="沃尔玛专线"),CONCATENATE("501KG+："&amp;VLOOKUP("*"&amp;$E$4&amp;"*",'沃尔玛专线'!$A$8:$G$9,0),"                            3001KG+："&amp;VLOOKUP("*"&amp;$E$4&amp;"*",'沃尔玛专线'!$A$8:$G$9,5,0),"                            5001KG+："&amp;VLOOKUP("*"&amp;$E$4&amp;"*",'沃尔玛专线'!$A$8:$G$9,6,0)),IF(AND($G$4="快递派",$F$4="KG",$C$4="珠三角",$D$4="亚马逊"),CONCATENATE("12KG+："&amp;VLOOKUP("*"&amp;$E$4&amp;"*",'海运快递派'!$A$13:$F$16,3,0),"                            51KG+："&amp;VLOOKUP("*"&amp;$E$4&amp;"*",'海运快递派'!$A$13:$F$16,4,0),"                            101KG+："&amp;VLOOKUP("*"&amp;$E$4&amp;"*",'海运快递派'!$A$13:$F$16,5,0)),IF(AND($G$4="快递派",$F$4="KG",$C$4="汕头仓",$D$4="亚马逊"),CONCATENATE("12KG+："&amp;VLOOKUP("*"&amp;$E$4&amp;"*",'海运快递派'!$A$13:$F$16,3,0),"                            51KG+："&amp;VLOOKUP("*"&amp;$E$4&amp;"*",'海运快递派'!$A$13:$F$16,4,0),"                            101KG+："&amp;VLOOKUP("*"&amp;$E$4&amp;"*",'海运快递派'!$A$13:$F$16,5,0)),IF(AND($G$4="快递派",$F$4="KG",$C$4="义乌仓",$D$4="亚马逊"),CONCATENATE("12KG+："&amp;VLOOKUP("*"&amp;$E$4&amp;"*",'海运快递派'!$A$13:$F$16,3,0),"                            51KG+："&amp;VLOOKUP("*"&amp;$E$4&amp;"*",'海运快递派'!$A$13:$F$16,4,0),"                            101KG+："&amp;VLOOKUP("*"&amp;$E$4&amp;"*",'海运快递派'!$A$13:$F$16,5,0)),"-"))))))))))))),"-")</f>
      </c>
      <c r="BN7" s="166">
        <f>IFERROR(IF($E$4="","-",IF(AND($G$4="卡派",$F$4="KG",$C$4="珠三角",$D$4="亚马逊"),VLOOKUP("*"&amp;$E$4&amp;"*",'美西特快专线'!$A$6:$M$18,13,0),IF(AND($G$4="卡派",$F$4="KG",$C$4="汕头仓",$D$4="亚马逊"),VLOOKUP("*"&amp;$E$4&amp;"*",'美西特快专线'!$A$6:$M$18,13,0),IF(AND($G$4="卡派",$F$4="KG",$C$4="义乌仓",$D$4="亚马逊"),VLOOKUP("*"&amp;$E$4&amp;"*",'美西特快专线'!$A$6:$M$18,13,0),IF(AND($G$4="卡派",$F$4="按方不包税",$C$4="珠三角",$D$4="亚马逊"),VLOOKUP("*"&amp;$E$4&amp;"*",'按方不包税'!$A$17:$E$23,4,0),IF(AND($G$4="卡派",$F$4="按方不包税",$C$4="汕头仓",$D$4="亚马逊"),VLOOKUP("*"&amp;$E$4&amp;"*",'按方不包税'!$A$17:$E$23,4,0),IF(AND($G$4="卡派",$F$4="按方不包税",$C$4="义乌仓",$D$4="亚马逊"),VLOOKUP("*"&amp;$E$4&amp;"*",'按方不包税'!$A$17:$E$23,4,0),IF(AND($G$4="卡派",$F$4="KG",$C$4="珠三角",$D$4="沃尔玛专线"),VLOOKUP("*"&amp;$E$4&amp;"*",'沃尔玛专线'!$A$8:$G$9,7,0),IF(AND($G$4="卡派",$F$4="KG",$C$4="汕头仓",$D$4="沃尔玛专线"),VLOOKUP("*"&amp;$E$4&amp;"*",'沃尔玛专线'!$A$8:$G$9,7,0),IF(AND($G$4="卡派",$F$4="KG",$C$4="义乌仓",$D$4="沃尔玛专线"),VLOOKUP("*"&amp;$E$4&amp;"*",'沃尔玛专线'!$A$8:$G$9,7,0),IF(AND($G$4="快递派",$F$4="KG",$C$4="珠三角",$D$4="亚马逊"),VLOOKUP("*"&amp;$E$4&amp;"*",'海运快递派'!$A$13:$F$16,6,0),IF(AND($G$4="快递派",$F$4="KG",$C$4="汕头仓",$D$4="亚马逊"),VLOOKUP("*"&amp;$E$4&amp;"*",'海运快递派'!$A$13:$F$16,6,0),IF(AND($G$4="快递派",$F$4="KG",$C$4="义乌仓",$D$4="亚马逊"),VLOOKUP("*"&amp;$E$4&amp;"*",'海运快递派'!$A$13:$F$16,6,0),"-"))))))))))))),"-")</f>
      </c>
      <c r="BO7" s="165">
        <f>CONCATENATE('海运船期表'!$B$5,"-"&amp;'海运船期表'!$C$5," : ",TEXT('海运船期表'!$I$5,"MM-DD"))</f>
      </c>
      <c r="BP7" s="18">
        <f>CONCATENATE('海运船期表'!$B$5,"-"&amp;'海运船期表'!$C$5," : ",TEXT('海运船期表'!$J$5,"MM-DD"))</f>
      </c>
      <c r="BQ7" s="24">
        <f>'海运船期表'!$K$5</f>
      </c>
    </row>
    <row customHeight="true" ht="45" r="8">
      <c r="A8" s="92"/>
      <c r="B8" s="155" t="str">
        <v>EX456</v>
      </c>
      <c r="C8" s="106">
        <f>BM8</f>
      </c>
      <c r="D8" s="106">
        <f>BN8</f>
      </c>
      <c r="E8" s="153">
        <f>BO8</f>
      </c>
      <c r="F8" s="106">
        <f>BP8</f>
      </c>
      <c r="G8" s="106">
        <f>BQ8</f>
      </c>
      <c r="H8" s="92"/>
      <c r="I8" s="151"/>
      <c r="J8" s="151"/>
      <c r="K8" s="151"/>
      <c r="L8" s="151"/>
      <c r="M8" s="151"/>
      <c r="N8" s="151"/>
      <c r="O8" s="151"/>
      <c r="P8" s="151"/>
      <c r="Q8" s="92"/>
      <c r="R8" s="92"/>
      <c r="S8" s="92"/>
      <c r="T8" s="92"/>
      <c r="U8" s="92"/>
      <c r="V8" s="92"/>
      <c r="W8" s="92"/>
      <c r="X8" s="92"/>
      <c r="Y8" s="92"/>
      <c r="Z8" s="92"/>
      <c r="AA8" s="92"/>
      <c r="AB8" s="92"/>
      <c r="AC8" s="92"/>
      <c r="AD8" s="92"/>
      <c r="AE8" s="92"/>
      <c r="AF8" s="92"/>
      <c r="AG8" s="92"/>
      <c r="AH8" s="92"/>
      <c r="AI8" s="92"/>
      <c r="AJ8" s="92"/>
      <c r="AK8" s="92"/>
      <c r="AL8" s="92"/>
      <c r="AM8" s="92"/>
      <c r="AN8" s="92"/>
      <c r="AO8" s="92"/>
      <c r="AP8" s="92"/>
      <c r="AQ8" s="92"/>
      <c r="AR8" s="92"/>
      <c r="AS8" s="92"/>
      <c r="AT8" s="92"/>
      <c r="AU8" s="92"/>
      <c r="AV8" s="92"/>
      <c r="AW8" s="92"/>
      <c r="AX8" s="92"/>
      <c r="AY8" s="92"/>
      <c r="AZ8" s="92"/>
      <c r="BA8" s="92"/>
      <c r="BB8" s="92"/>
      <c r="BC8" s="92"/>
      <c r="BD8" s="92"/>
      <c r="BE8" s="92"/>
      <c r="BF8" s="92"/>
      <c r="BG8" s="92"/>
      <c r="BH8" s="92"/>
      <c r="BI8" s="92"/>
      <c r="BJ8" s="92"/>
      <c r="BK8" s="92"/>
      <c r="BL8" s="152" t="str">
        <v>EX456</v>
      </c>
      <c r="BM8" s="126">
        <f>IFERROR(IF($E$4="","-",IF(AND($G$4="卡派",$F$4="KG",$C$4="珠三角",$D$4="亚马逊"),CONCATENATE("8KG+："&amp;VLOOKUP("*"&amp;$E$4&amp;"*",'美西特快专线'!$A$6:$R$18,16,0),"                            101KG+："&amp;VLOOKUP("*"&amp;$E$4&amp;"*",'美西特快专线'!$A$6:$R$18,17,0)),IF(AND($G$4="卡派",$F$4="KG",$C$4="汕头仓",$D$4="亚马逊"),CONCATENATE("8KG+："&amp;VLOOKUP("*"&amp;$E$4&amp;"*",'美西特快专线'!$A$6:$R$18,16,0),"                            101KG+："&amp;VLOOKUP("*"&amp;$E$4&amp;"*",'美西特快专线'!$A$6:$R$18,17,0)),IF(AND($G$4="卡派",$F$4="KG",$C$4="义乌仓",$D$4="亚马逊"),CONCATENATE("8KG+："&amp;VLOOKUP("*"&amp;$E$4&amp;"*",'美西特快专线'!$A$6:$R$18,16,0),"                            101KG+："&amp;VLOOKUP("*"&amp;$E$4&amp;"*",'美西特快专线'!$A$6:$R$18,17,0)),IF(AND($G$4="卡派",$F$4="按方不包税",$C$4="珠三角",$D$4="亚马逊"),CONCATENATE("2CBM+："&amp;VLOOKUP("*"&amp;$E$4&amp;"*",'按方不包税'!$A$28:$E$34,2,0)),IF(AND($G$4="卡派",$F$4="按方不包税",$C$4="汕头仓",$D$4="亚马逊"),CONCATENATE("2CBM+："&amp;VLOOKUP("*"&amp;$E$4&amp;"*",'按方不包税'!$A$28:$E$34,2,0)),IF(AND($G$4="卡派",$F$4="按方不包税",$C$4="义乌仓",$D$4="亚马逊"),CONCATENATE("2CBM+："&amp;VLOOKUP("*"&amp;$E$4&amp;"*",'按方不包税'!$A$28:$E$34,2,0)),IF(AND($G$4="卡派",$F$4="KG",$C$4="珠三角",$D$4="沃尔玛专线"),CONCATENATE("501KG+："&amp;VLOOKUP("*"&amp;$E$4&amp;"*",'沃尔玛专线'!$A$10:$G$11,4,0),"                            3001KG+："&amp;VLOOKUP("*"&amp;$E$4&amp;"*",'沃尔玛专线'!$A$10:$G$11,5,0),"                            5001KG+："&amp;VLOOKUP("*"&amp;$E$4&amp;"*",'沃尔玛专线'!$A$10:$G$11,6,0)),IF(AND($G$4="卡派",$F$4="KG",$C$4="汕头仓",$D$4="沃尔玛专线"),CONCATENATE("501KG+："&amp;VLOOKUP("*"&amp;$E$4&amp;"*",'沃尔玛专线'!$A$10:$G$11,7,0),"                            3001KG+："&amp;VLOOKUP("*"&amp;$E$4&amp;"*",'沃尔玛专线'!$A$10:$G$11,9,0),"                            5001KG+："&amp;VLOOKUP("*"&amp;$E$4&amp;"*",'沃尔玛专线'!$A$10:$G$11,9,0)),IF(AND($G$4="卡派",$F$4="KG",$C$4="义乌仓",$D$4="沃尔玛专线"),CONCATENATE("501KG+："&amp;VLOOKUP("*"&amp;$E$4&amp;"*",'沃尔玛专线'!$A$10:$G$11,10,0),"                            3001KG+："&amp;VLOOKUP("*"&amp;$E$4&amp;"*",'沃尔玛专线'!$A$10:$G$11,11,0),"                            5001KG+："&amp;VLOOKUP("*"&amp;$E$4&amp;"*",'沃尔玛专线'!$A$10:$G$11,12,0)),IF(AND($G$4="快递派",$F$4="KG",$C$4="珠三角",$D$4="亚马逊"),CONCATENATE("12KG+："&amp;VLOOKUP("*"&amp;$E$4&amp;"*",'海运快递派'!$A$21:$F$24,3,0),"                            51KG+："&amp;VLOOKUP("*"&amp;$E$4&amp;"*",'海运快递派'!$A$21:$F$24,4,0),"                            101KG+："&amp;VLOOKUP("*"&amp;$E$4&amp;"*",'海运快递派'!$A$21:$F$24,5,0)),IF(AND($G$4="快递派",$F$4="KG",$C$4="汕头仓",$D$4="亚马逊"),CONCATENATE("12KG+："&amp;VLOOKUP("*"&amp;$E$4&amp;"*",'海运快递派'!$A$21:$F$24,3,0),"                            51KG+："&amp;VLOOKUP("*"&amp;$E$4&amp;"*",'海运快递派'!$A$21:$F$24,4,0),"                            101KG+："&amp;VLOOKUP("*"&amp;$E$4&amp;"*",'海运快递派'!$A$21:$F$24,5,0)),IF(AND($G$4="快递派",$F$4="KG",$C$4="义乌仓",$D$4="亚马逊"),CONCATENATE("12KG+："&amp;VLOOKUP("*"&amp;$E$4&amp;"*",'海运快递派'!$A$21:$F$24,3,0),"                            51KG+："&amp;VLOOKUP("*"&amp;$E$4&amp;"*",'海运快递派'!$A$21:$F$24,4,0),"                            101KG+："&amp;VLOOKUP("*"&amp;$E$4&amp;"*",'海运快递派'!$A$21:$F$24,5,0)),"-"))))))))))))),"-")</f>
      </c>
      <c r="BN8" s="154">
        <f>IFERROR(IF($E$4="","-",IF(AND($G$4="卡派",$F$4="KG",$C$4="珠三角",$D$4="亚马逊"),VLOOKUP("*"&amp;$E$4&amp;"*",'美西特快专线'!$A$6:$R$18,18,0),IF(AND($G$4="卡派",$F$4="KG",$C$4="汕头仓",$D$4="亚马逊"),VLOOKUP("*"&amp;$E$4&amp;"*",'美西特快专线'!$A$6:$R$18,18,0),IF(AND($G$4="卡派",$F$4="KG",$C$4="义乌仓",$D$4="亚马逊"),VLOOKUP("*"&amp;$E$4&amp;"*",'美西特快专线'!$A$6:$R$18,18,0),IF(AND($G$4="卡派",$F$4="按方不包税",$C$4="珠三角",$D$4="亚马逊"),VLOOKUP("*"&amp;$E$4&amp;"*",'按方不包税'!$A$28:$E$34,4,0),IF(AND($G$4="卡派",$F$4="按方不包税",$C$4="汕头仓",$D$4="亚马逊"),VLOOKUP("*"&amp;$E$4&amp;"*",'按方不包税'!$A$28:$E$34,4,0),IF(AND($G$4="卡派",$F$4="按方不包税",$C$4="义乌仓",$D$4="亚马逊"),VLOOKUP("*"&amp;$E$4&amp;"*",'按方不包税'!$A$28:$E$34,4,0),IF(AND($G$4="卡派",$F$4="KG",$C$4="珠三角",$D$4="沃尔玛专线"),VLOOKUP("*"&amp;$E$4&amp;"*",'沃尔玛专线'!$A$10:$G$11,7,0),IF(AND($G$4="卡派",$F$4="KG",$C$4="汕头仓",$D$4="沃尔玛专线"),VLOOKUP("*"&amp;$E$4&amp;"*",'沃尔玛专线'!$A$10:$G$11,7,0),IF(AND($G$4="卡派",$F$4="KG",$C$4="义乌仓",$D$4="沃尔玛专线"),VLOOKUP("*"&amp;$E$4&amp;"*",'沃尔玛专线'!$A$10:$G$11,7,0),IF(AND($G$4="快递派",$F$4="KG",$C$4="珠三角",$D$4="亚马逊"),VLOOKUP("*"&amp;$E$4&amp;"*",'海运快递派'!$A$21:$F$24,6,0),IF(AND($G$4="快递派",$F$4="KG",$C$4="汕头仓",$D$4="亚马逊"),VLOOKUP("*"&amp;$E$4&amp;"*",'海运快递派'!$A$21:$F$24,6,0),IF(AND($G$4="快递派",$F$4="KG",$C$4="义乌仓",$D$4="亚马逊"),VLOOKUP("*"&amp;$E$4&amp;"*",'海运快递派'!$A$21:$F$24,6,0),"-"))))))))))))),"-")</f>
      </c>
      <c r="BO8" s="154">
        <f>CONCATENATE('海运船期表'!$B$6,"-"&amp;'海运船期表'!$C$6," : ",TEXT('海运船期表'!$I$6,"MM-DD"))</f>
      </c>
      <c r="BP8" s="154">
        <f>CONCATENATE('海运船期表'!$B$6,"-"&amp;'海运船期表'!$C$6," : ",TEXT('海运船期表'!$J$6,"MM-DD"))</f>
      </c>
      <c r="BQ8" s="24">
        <f>'海运船期表'!$K$6</f>
      </c>
    </row>
    <row customHeight="true" ht="61" r="9">
      <c r="A9" s="92"/>
      <c r="B9" s="152" t="str">
        <v>快船600</v>
      </c>
      <c r="C9" s="126">
        <f>BM9</f>
      </c>
      <c r="D9" s="154">
        <f>BN9</f>
      </c>
      <c r="E9" s="154">
        <f>BO9</f>
      </c>
      <c r="F9" s="154">
        <f>BP9</f>
      </c>
      <c r="G9" s="154">
        <f>BQ9</f>
      </c>
      <c r="H9" s="92"/>
      <c r="I9" s="151"/>
      <c r="J9" s="151"/>
      <c r="K9" s="151"/>
      <c r="L9" s="151"/>
      <c r="M9" s="151"/>
      <c r="N9" s="151"/>
      <c r="O9" s="151"/>
      <c r="P9" s="151"/>
      <c r="Q9" s="92"/>
      <c r="R9" s="92"/>
      <c r="S9" s="92"/>
      <c r="T9" s="92"/>
      <c r="U9" s="92"/>
      <c r="V9" s="92"/>
      <c r="W9" s="92"/>
      <c r="X9" s="92"/>
      <c r="Y9" s="92"/>
      <c r="Z9" s="92"/>
      <c r="AA9" s="92"/>
      <c r="AB9" s="92"/>
      <c r="AC9" s="92"/>
      <c r="AD9" s="92"/>
      <c r="AE9" s="92"/>
      <c r="AF9" s="92"/>
      <c r="AG9" s="92"/>
      <c r="AH9" s="92"/>
      <c r="AI9" s="92"/>
      <c r="AJ9" s="92"/>
      <c r="AK9" s="92"/>
      <c r="AL9" s="92"/>
      <c r="AM9" s="92"/>
      <c r="AN9" s="92"/>
      <c r="AO9" s="92"/>
      <c r="AP9" s="92"/>
      <c r="AQ9" s="92"/>
      <c r="AR9" s="92"/>
      <c r="AS9" s="92"/>
      <c r="AT9" s="92"/>
      <c r="AU9" s="92"/>
      <c r="AV9" s="92"/>
      <c r="AW9" s="92"/>
      <c r="AX9" s="92"/>
      <c r="AY9" s="92"/>
      <c r="AZ9" s="92"/>
      <c r="BA9" s="92"/>
      <c r="BB9" s="92"/>
      <c r="BC9" s="92"/>
      <c r="BD9" s="92"/>
      <c r="BE9" s="92"/>
      <c r="BF9" s="92"/>
      <c r="BG9" s="92"/>
      <c r="BH9" s="92"/>
      <c r="BI9" s="92"/>
      <c r="BJ9" s="92"/>
      <c r="BK9" s="92"/>
      <c r="BL9" s="106" t="str">
        <v>快船600</v>
      </c>
      <c r="BM9" s="106">
        <f>IFERROR(IF($E$4="","-",IF(AND($G$4="卡派",$F$4="KG",$C$4="珠三角",$D$4="亚马逊"),CONCATENATE("8KG+："&amp;VLOOKUP("*"&amp;$E$4&amp;"*",'美西快船专线'!$A$7:$E$19,2,0),"                            101KG+："&amp;VLOOKUP("*"&amp;$E$4&amp;"*",'美西快船专线'!$A$7:$E$19,3,0)),IF(AND($G$4="卡派",$F$4="KG",$C$4="汕头仓",$D$4="亚马逊"),CONCATENATE("8KG+："&amp;VLOOKUP("*"&amp;$E$4&amp;"*",'美西快船专线'!$A$7:$E$19,2,0),"                            101KG+："&amp;VLOOKUP("*"&amp;$E$4&amp;"*",'美西快船专线'!$A$7:$E$19,3,0)),IF(AND($G$4="卡派",$F$4="KG",$C$4="义乌仓",$D$4="亚马逊"),CONCATENATE("8KG+："&amp;VLOOKUP("*"&amp;$E$4&amp;"*",'美西快船专线'!$A$7:$E$19,2,0),"                            101KG+："&amp;VLOOKUP("*"&amp;$E$4&amp;"*",'美西快船专线'!$A$7:$E$19,3,0)),IF(AND($G$4="卡派",$F$4="按方不包税",$C$4="珠三角",$D$4="亚马逊"),CONCATENATE("2CBM+："&amp;VLOOKUP("*"&amp;$E$4&amp;"*",'按方不包税'!$A$40:$E$48,2,0)),IF(AND($G$4="卡派",$F$4="按方不包税",$C$4="汕头仓",$D$4="亚马逊"),CONCATENATE("2CBM+："&amp;VLOOKUP("*"&amp;$E$4&amp;"*",'按方不包税'!$A$40:$E$48,2,0)),IF(AND($G$4="卡派",$F$4="按方不包税",$C$4="义乌仓",$D$4="亚马逊"),CONCATENATE("2CBM+："&amp;VLOOKUP("*"&amp;$E$4&amp;"*",'按方不包税'!$A$40:$E$48,2,0)),IF(AND($G$4="卡派",$F$4="KG",$C$4="珠三角",$D$4="沃尔玛专线"),CONCATENATE("501KG+："&amp;VLOOKUP("*"&amp;$E$4&amp;"*",'沃尔玛专线'!$A$12:$G$13,4,0),"                            3001KG+："&amp;VLOOKUP("*"&amp;$E$4&amp;"*",'沃尔玛专线'!$A$12:$G$13,5,0),"                            5001KG+："&amp;VLOOKUP("*"&amp;$E$4&amp;"*",'沃尔玛专线'!$A$12:$G$13,6,0)),IF(AND($G$4="卡派",$F$4="KG",$C$4="汕头仓",$D$4="沃尔玛专线"),CONCATENATE("501KG+："&amp;VLOOKUP("*"&amp;$E$4&amp;"*",'沃尔玛专线'!$A$12:$G$13,7,0),"                            3001KG+："&amp;VLOOKUP("*"&amp;$E$4&amp;"*",'沃尔玛专线'!$A$12:$G$13,9,0),"                            5001KG+："&amp;VLOOKUP("*"&amp;$E$4&amp;"*",'沃尔玛专线'!$A$12:$G$13,9,0)),IF(AND($G$4="卡派",$F$4="KG",$C$4="义乌仓",$D$4="沃尔玛专线"),CONCATENATE("501KG+："&amp;VLOOKUP("*"&amp;$E$4&amp;"*",'沃尔玛专线'!$A$12:$G$13,10,0),"                            3001KG+："&amp;VLOOKUP("*"&amp;$E$4&amp;"*",'沃尔玛专线'!$A$12:$G$13,11,0),"                            5001KG+："&amp;VLOOKUP("*"&amp;$E$4&amp;"*",'沃尔玛专线'!$A$12:$G$13,12,0)),IF(AND($G$4="快递派",$F$4="KG",$C$4="珠三角",$D$4="亚马逊"),CONCATENATE("12KG+："&amp;VLOOKUP("*"&amp;$E$4&amp;"*",'海运快递派'!$A$29:$F$32,3,0),"                            51KG+："&amp;VLOOKUP("*"&amp;$E$4&amp;"*",'海运快递派'!$A$29:$F$32,4,0),"                            101KG+："&amp;VLOOKUP("*"&amp;$E$4&amp;"*",'海运快递派'!$A$29:$F$32,5,0)),IF(AND($G$4="快递派",$F$4="KG",$C$4="汕头仓",$D$4="亚马逊"),CONCATENATE("12KG+："&amp;VLOOKUP("*"&amp;$E$4&amp;"*",'海运快递派'!$A$29:$F$32,3,0),"                            51KG+："&amp;VLOOKUP("*"&amp;$E$4&amp;"*",'海运快递派'!$A$29:$F$32,4,0),"                            101KG+："&amp;VLOOKUP("*"&amp;$E$4&amp;"*",'海运快递派'!$A$29:$F$32,5,0)),IF(AND($G$4="快递派",$F$4="KG",$C$4="义乌仓",$D$4="亚马逊"),CONCATENATE("12KG+："&amp;VLOOKUP("*"&amp;$E$4&amp;"*",'海运快递派'!$A$29:$F$32,3,0),"                            51KG+："&amp;VLOOKUP("*"&amp;$E$4&amp;"*",'海运快递派'!$A$29:$F$32,4,0),"                            101KG+："&amp;VLOOKUP("*"&amp;$E$4&amp;"*",'海运快递派'!$A$29:$F$32,5,0)),"-"))))))))))))),"-")</f>
      </c>
      <c r="BN9" s="106">
        <f>IFERROR(IF($E$4="","-",IF(AND($G$4="卡派",$F$4="KG",$C$4="珠三角",$D$4="亚马逊"),VLOOKUP("*"&amp;$E$4&amp;"*",'美西快船专线'!$A$7:$E$19,4,0),IF(AND($G$4="卡派",$F$4="KG",$C$4="汕头仓",$D$4="亚马逊"),VLOOKUP("*"&amp;$E$4&amp;"*",'美西快船专线'!$A$7:$E$19,4,0),IF(AND($G$4="卡派",$F$4="KG",$C$4="义乌仓",$D$4="亚马逊"),VLOOKUP("*"&amp;$E$4&amp;"*",'美西快船专线'!$A$7:$E$19,4,0),IF(AND($G$4="卡派",$F$4="按方不包税",$C$4="珠三角",$D$4="亚马逊"),VLOOKUP("*"&amp;$E$4&amp;"*",'按方不包税'!$A$40:$E$48,4,0),IF(AND($G$4="卡派",$F$4="按方不包税",$C$4="汕头仓",$D$4="亚马逊"),VLOOKUP("*"&amp;$E$4&amp;"*",'按方不包税'!$A$40:$E$48,4,0),IF(AND($G$4="卡派",$F$4="按方不包税",$C$4="义乌仓",$D$4="亚马逊"),VLOOKUP("*"&amp;$E$4&amp;"*",'按方不包税'!$A$40:$E$48,4,0),IF(AND($G$4="卡派",$F$4="KG",$C$4="珠三角",$D$4="沃尔玛专线"),VLOOKUP("*"&amp;$E$4&amp;"*",'沃尔玛专线'!$A$12:$G$13,7,0),IF(AND($G$4="卡派",$F$4="KG",$C$4="汕头仓",$D$4="沃尔玛专线"),VLOOKUP("*"&amp;$E$4&amp;"*",'沃尔玛专线'!$A$12:$G$13,7,0),IF(AND($G$4="卡派",$F$4="KG",$C$4="义乌仓",$D$4="沃尔玛专线"),VLOOKUP("*"&amp;$E$4&amp;"*",'沃尔玛专线'!$A$10:$G$11,7,0),IF(AND($G$4="快递派",$F$4="KG",$C$4="珠三角",$D$4="亚马逊"),VLOOKUP("*"&amp;$E$4&amp;"*",'海运快递派'!$A$29:$F$32,6,0),IF(AND($G$4="快递派",$F$4="KG",$C$4="汕头仓",$D$4="亚马逊"),VLOOKUP("*"&amp;$E$4&amp;"*",'海运快递派'!$A$29:$F$32,6,0),IF(AND($G$4="快递派",$F$4="KG",$C$4="义乌仓",$D$4="亚马逊"),VLOOKUP("*"&amp;$E$4&amp;"*",'海运快递派'!$A$29:$F$32,6,0),"-"))))))))))))),"-")</f>
      </c>
      <c r="BO9" s="153">
        <f>CONCATENATE("①",'海运船期表'!$B$7,"-"&amp;'海运船期表'!$C$7," : ",TEXT('海运船期表'!$I$7,"MM-DD"),"                                                      ②",'海运船期表'!$B$8,"-"&amp;'海运船期表'!$C$8," : ",TEXT('海运船期表'!$I$8,"MM-DD"),"                                            ③",'海运船期表'!$B$9,"-"&amp;'海运船期表'!$C$9," : ",TEXT('海运船期表'!$I$9,"MM-DD"))</f>
      </c>
      <c r="BP9" s="153">
        <f>CONCATENATE("①",'海运船期表'!$B$7,"-"&amp;'海运船期表'!$C$7," : ",TEXT('海运船期表'!$J$7,"MM-DD"),"                                               ②",'海运船期表'!$B$8,"-"&amp;'海运船期表'!$C$8," : ",TEXT('海运船期表'!$J$8,"MM-DD"),"                                         ③",'海运船期表'!$B$9,"-"&amp;'海运船期表'!$C$9," : ",TEXT('海运船期表'!$J$9,"MM-DD"))</f>
      </c>
      <c r="BQ9" s="106">
        <f>CONCATENATE("①："&amp;'海运船期表'!$K$7,"                                ②："&amp;'海运船期表'!$K$8,"                         ③："&amp;'海运船期表'!$K$9)</f>
      </c>
    </row>
    <row customHeight="true" ht="50" r="10">
      <c r="A10" s="92"/>
      <c r="B10" s="155" t="str">
        <v>奥克兰744</v>
      </c>
      <c r="C10" s="106">
        <f>BM10</f>
      </c>
      <c r="D10" s="106">
        <f>BN10</f>
      </c>
      <c r="E10" s="153">
        <f>BO10</f>
      </c>
      <c r="F10" s="106">
        <f>BP10</f>
      </c>
      <c r="G10" s="106">
        <f>BQ10</f>
      </c>
      <c r="H10" s="92"/>
      <c r="I10" s="151"/>
      <c r="J10" s="151"/>
      <c r="K10" s="151"/>
      <c r="L10" s="151"/>
      <c r="M10" s="151"/>
      <c r="N10" s="151"/>
      <c r="O10" s="151"/>
      <c r="P10" s="151"/>
      <c r="Q10" s="92"/>
      <c r="R10" s="92"/>
      <c r="S10" s="92"/>
      <c r="T10" s="92"/>
      <c r="U10" s="92"/>
      <c r="V10" s="92"/>
      <c r="W10" s="92"/>
      <c r="X10" s="92"/>
      <c r="Y10" s="92"/>
      <c r="Z10" s="92"/>
      <c r="AA10" s="92"/>
      <c r="AB10" s="92"/>
      <c r="AC10" s="92"/>
      <c r="AD10" s="92"/>
      <c r="AE10" s="92"/>
      <c r="AF10" s="92"/>
      <c r="AG10" s="92"/>
      <c r="AH10" s="92"/>
      <c r="AI10" s="92"/>
      <c r="AJ10" s="92"/>
      <c r="AK10" s="92"/>
      <c r="AL10" s="92"/>
      <c r="AM10" s="92"/>
      <c r="AN10" s="92"/>
      <c r="AO10" s="92"/>
      <c r="AP10" s="92"/>
      <c r="AQ10" s="92"/>
      <c r="AR10" s="92"/>
      <c r="AS10" s="92"/>
      <c r="AT10" s="92"/>
      <c r="AU10" s="92"/>
      <c r="AV10" s="92"/>
      <c r="AW10" s="92"/>
      <c r="AX10" s="92"/>
      <c r="AY10" s="92"/>
      <c r="AZ10" s="92"/>
      <c r="BA10" s="92"/>
      <c r="BB10" s="92"/>
      <c r="BC10" s="92"/>
      <c r="BD10" s="92"/>
      <c r="BE10" s="92"/>
      <c r="BF10" s="92"/>
      <c r="BG10" s="92"/>
      <c r="BH10" s="92"/>
      <c r="BI10" s="92"/>
      <c r="BJ10" s="92"/>
      <c r="BK10" s="92"/>
      <c r="BL10" s="152" t="str">
        <v>奥克兰744</v>
      </c>
      <c r="BM10" s="126">
        <f>IFERROR(IF($E$4="","-",IF(AND($G$4="卡派",$F$4="KG",$C$4="珠三角",$D$4="亚马逊"),CONCATENATE("8KG+："&amp;VLOOKUP("*"&amp;$E$4&amp;"*",'美西普船专线'!$F$7:$I$10,2,0),"                            101KG+："&amp;VLOOKUP("*"&amp;$E$4&amp;"*",'美西普船专线'!$F$7:$I$10,3,0)),IF(AND($G$4="卡派",$F$4="KG",$C$4="汕头仓",$D$4="亚马逊"),CONCATENATE("8KG+："&amp;VLOOKUP("*"&amp;$E$4&amp;"*",'美西普船专线'!$F$7:$I$10,2,0),"                            101KG+："&amp;VLOOKUP("*"&amp;$E$4&amp;"*",'美西普船专线'!$F$7:$I$10,3,0)),IF(AND($G$4="卡派",$F$4="KG",$C$4="义乌仓",$D$4="亚马逊"),CONCATENATE("8KG+："&amp;VLOOKUP("*"&amp;$E$4&amp;"*",'美西普船专线'!$F$7:$I$10,2,0),"                            101KG+："&amp;VLOOKUP("*"&amp;$E$4&amp;"*",'美西普船专线'!$A$7:$D$10,3,0)),IF(AND($G$4="卡派",$F$4="按方不包税",$C$4="珠三角",$D$4="亚马逊"),CONCATENATE("2CBM+："&amp;VLOOKUP("*"&amp;$E$4&amp;"*",'按方不包税'!$A$63:$E$65,2,0)),IF(AND($G$4="卡派",$F$4="按方不包税",$C$4="汕头仓",$D$4="亚马逊"),CONCATENATE("2CBM+："&amp;VLOOKUP("*"&amp;$E$4&amp;"*",'按方不包税'!$A$63:$E$65,2,0)),IF(AND($G$4="卡派",$F$4="按方不包税",$C$4="义乌仓",$D$4="亚马逊"),CONCATENATE("2CBM+："&amp;VLOOKUP("*"&amp;$E$4&amp;"*",'按方不包税'!$A$63:$E$65,2,0)),"-"))))))),"-")</f>
      </c>
      <c r="BN10" s="154">
        <f>IFERROR(IF($E$4="","-",IF(AND($G$4="卡派",$F$4="KG",$C$4="珠三角",$D$4="亚马逊"),VLOOKUP("*"&amp;$E$4&amp;"*",'美西普船专线'!$F$7:$I$10,4,0),IF(AND($G$4="卡派",$F$4="KG",$C$4="汕头仓",$D$4="亚马逊"),VLOOKUP("*"&amp;$E$4&amp;"*",'美西普船专线'!$F$7:$I$10,4,0),IF(AND($G$4="卡派",$F$4="KG",$C$4="义乌仓",$D$4="亚马逊"),VLOOKUP("*"&amp;$E$4&amp;"*",'美西普船专线'!$F$7:$I$10,4,0),IF(AND($G$4="卡派",$F$4="按方不包税KG",$C$4="珠三角",$D$4="亚马逊"),VLOOKUP("*"&amp;$E$4&amp;"*",'按方不包税'!$A$63:$E$65,4,0),IF(AND($G$4="卡派",$F$4="按方不包税",$C$4="汕头仓",$D$4="亚马逊"),VLOOKUP("*"&amp;$E$4&amp;"*",'按方不包税'!$A$63:$E$65,4,0),IF(AND($G$4="卡派",$F$4="按方不包税2CBM+",$C$4="义乌仓",$D$4="亚马逊"),VLOOKUP("*"&amp;$E$4&amp;"*",'按方不包税'!$A$63:$E$65,4,0),"-"))))))),"-")</f>
      </c>
      <c r="BO10" s="153">
        <f>CONCATENATE("①",'海运船期表'!$B$12,"-"&amp;'海运船期表'!$C$12," : ",TEXT('海运船期表'!$I$12,"MM-DD"),"                                       ②",'海运船期表'!$B$13,"-"&amp;'海运船期表'!$C$13," : ",TEXT('海运船期表'!$I$13,"MM-DD"))</f>
      </c>
      <c r="BP10" s="153">
        <f>CONCATENATE("①",'海运船期表'!$B$12,"-"&amp;'海运船期表'!$C$12," : ",TEXT('海运船期表'!$J$12,"MM-DD"),"                                            ②",'海运船期表'!$B$13,"-"&amp;'海运船期表'!$C$13," : ",TEXT('海运船期表'!$J$13,"MM-DD"))</f>
      </c>
      <c r="BQ10" s="106">
        <f>CONCATENATE("①："&amp;'海运船期表'!$K$12,"                              ②："&amp;'海运船期表'!$K$13)</f>
      </c>
    </row>
    <row customHeight="true" ht="61" r="11">
      <c r="A11" s="92"/>
      <c r="B11" s="152" t="str">
        <v>洛杉矶768</v>
      </c>
      <c r="C11" s="126">
        <f>BM11</f>
      </c>
      <c r="D11" s="154">
        <f>BN11</f>
      </c>
      <c r="E11" s="154">
        <f>BO11</f>
      </c>
      <c r="F11" s="154">
        <f>BP11</f>
      </c>
      <c r="G11" s="154">
        <f>BQ11</f>
      </c>
      <c r="H11" s="92"/>
      <c r="I11" s="151"/>
      <c r="J11" s="151"/>
      <c r="K11" s="151"/>
      <c r="L11" s="151"/>
      <c r="M11" s="151"/>
      <c r="N11" s="151"/>
      <c r="O11" s="151"/>
      <c r="P11" s="151"/>
      <c r="Q11" s="92"/>
      <c r="R11" s="92"/>
      <c r="S11" s="92"/>
      <c r="T11" s="92"/>
      <c r="U11" s="92"/>
      <c r="V11" s="92"/>
      <c r="W11" s="92"/>
      <c r="X11" s="92"/>
      <c r="Y11" s="92"/>
      <c r="Z11" s="92"/>
      <c r="AA11" s="92"/>
      <c r="AB11" s="92"/>
      <c r="AC11" s="92"/>
      <c r="AD11" s="92"/>
      <c r="AE11" s="92"/>
      <c r="AF11" s="92"/>
      <c r="AG11" s="92"/>
      <c r="AH11" s="92"/>
      <c r="AI11" s="92"/>
      <c r="AJ11" s="92"/>
      <c r="AK11" s="92"/>
      <c r="AL11" s="92"/>
      <c r="AM11" s="92"/>
      <c r="AN11" s="92"/>
      <c r="AO11" s="92"/>
      <c r="AP11" s="92"/>
      <c r="AQ11" s="92"/>
      <c r="AR11" s="92"/>
      <c r="AS11" s="92"/>
      <c r="AT11" s="92"/>
      <c r="AU11" s="92"/>
      <c r="AV11" s="92"/>
      <c r="AW11" s="92"/>
      <c r="AX11" s="92"/>
      <c r="AY11" s="92"/>
      <c r="AZ11" s="92"/>
      <c r="BA11" s="92"/>
      <c r="BB11" s="92"/>
      <c r="BC11" s="92"/>
      <c r="BD11" s="92"/>
      <c r="BE11" s="92"/>
      <c r="BF11" s="92"/>
      <c r="BG11" s="92"/>
      <c r="BH11" s="92"/>
      <c r="BI11" s="92"/>
      <c r="BJ11" s="92"/>
      <c r="BK11" s="92"/>
      <c r="BL11" s="106" t="str">
        <v>洛杉矶768</v>
      </c>
      <c r="BM11" s="106">
        <f>IFERROR(IF($E$4="","-",IF(AND($G$4="卡派",$F$4="KG",$C$4="珠三角",$D$4="亚马逊"),CONCATENATE("8KG+："&amp;VLOOKUP("*"&amp;$E$4&amp;"*",'美西普船专线'!$A$7:$D$10,2,0),"                            101KG+："&amp;VLOOKUP("*"&amp;$E$4&amp;"*",'美西普船专线'!$A$7:$D$10,3,0)),IF(AND($G$4="卡派",$F$4="KG",$C$4="汕头仓",$D$4="亚马逊"),CONCATENATE("8KG+："&amp;VLOOKUP("*"&amp;$E$4&amp;"*",'美西普船专线'!$A$7:$D$10,2,0),"                            101KG+："&amp;VLOOKUP("*"&amp;$E$4&amp;"*",'美西普船专线'!$A$7:$D$10,3,0)),IF(AND($G$4="卡派",$F$4="KG",$C$4="义乌仓",$D$4="亚马逊"),CONCATENATE("8KG+："&amp;VLOOKUP("*"&amp;$E$4&amp;"*",'美西普船专线'!$A$7:$D$10,2,0),"                            101KG+："&amp;VLOOKUP("*"&amp;$E$4&amp;"*",'美西普船专线'!$A$7:$D$10,3,0)),IF(AND($G$4="卡派",$F$4="按方不包税",$C$4="珠三角",$D$4="亚马逊"),CONCATENATE("2CBM+："&amp;VLOOKUP("*"&amp;$E$4&amp;"*",'按方不包税'!$A$54:$E$55,2,0)),IF(AND($G$4="卡派",$F$4="按方不包税",$C$4="汕头仓",$D$4="亚马逊"),CONCATENATE("2CBM+："&amp;VLOOKUP("*"&amp;$E$4&amp;"*",'按方不包税'!$A$54:$E$55,2,0)),IF(AND($G$4="卡派",$F$4="按方不包税",$C$4="义乌仓",$D$4="亚马逊"),CONCATENATE("2CBM+："&amp;VLOOKUP("*"&amp;$E$4&amp;"*",'按方不包税'!$A$54:$E$55,2,0)),"-"))))))),"-")</f>
      </c>
      <c r="BN11" s="106">
        <f>IFERROR(IF($E$4="","-",IF(AND($G$4="卡派",$F$4="KG",$C$4="珠三角",$D$4="亚马逊"),VLOOKUP("*"&amp;$E$4&amp;"*",'美西普船专线'!$A$7:$D$10,4,0),IF(AND($G$4="卡派",$F$4="KG",$C$4="汕头仓",$D$4="亚马逊"),VLOOKUP("*"&amp;$E$4&amp;"*",'美西普船专线'!$A$7:$D$10,4,0),IF(AND($G$4="卡派",$F$4="KG",$C$4="义乌仓",$D$4="亚马逊"),VLOOKUP("*"&amp;$E$4&amp;"*",'美西普船专线'!$A$7:$D$10,4,0),IF(AND($G$4="卡派",$F$4="按方不包税",$C$4="珠三角",$D$4="亚马逊"),VLOOKUP("*"&amp;$E$4&amp;"*",'按方不包税'!$A$55:$E$56,4,0),IF(AND($G$4="卡派",$F$4="按方不包税",$C$4="汕头仓",$D$4="亚马逊"),VLOOKUP("*"&amp;$E$4&amp;"*",'按方不包税'!$A$55:$E$56,4,0),IF(AND($G$4="卡派",$F$4="按方不包税",$C$4="义乌仓",$D$4="亚马逊"),VLOOKUP("*"&amp;$E$4&amp;"*",'按方不包税'!$A$55:$E$56,4,0),"-"))))))),"-")</f>
      </c>
      <c r="BO11" s="153">
        <f>CONCATENATE("①",'海运船期表'!$B$14,"-"&amp;'海运船期表'!$C$14," : ",TEXT('海运船期表'!$I$14,"MM-DD"),"                                                           ②",'海运船期表'!$B$15,"-"&amp;'海运船期表'!$C$15," : ",TEXT('海运船期表'!$I$15,"MM-DD"),"                                                          ③",'海运船期表'!$B$16,"-"&amp;'海运船期表'!$C$16," : ",TEXT('海运船期表'!$I$16,"MM-DD"))</f>
      </c>
      <c r="BP11" s="153">
        <f>CONCATENATE("①",'海运船期表'!$B$14,"-"&amp;'海运船期表'!$C$14," : ",TEXT('海运船期表'!$J$14,"MM-DD"),"                                               ②",'海运船期表'!$B$15,"-"&amp;'海运船期表'!$C$15," : ",TEXT('海运船期表'!$J$15,"MM-DD"),"                                          ③",'海运船期表'!$B$16,"-"&amp;'海运船期表'!$C$16," : ",TEXT('海运船期表'!$J$16,"MM-DD"))</f>
      </c>
      <c r="BQ11" s="106">
        <f>CONCATENATE("①："&amp;'海运船期表'!$K$14,"                                ②："&amp;'海运船期表'!$K$15,"                         ③："&amp;'海运船期表'!$K$16)</f>
      </c>
    </row>
    <row customHeight="true" ht="45" r="12">
      <c r="A12" s="92"/>
      <c r="B12" s="155" t="str">
        <v>西雅图788</v>
      </c>
      <c r="C12" s="106">
        <f>BM12</f>
      </c>
      <c r="D12" s="106">
        <f>BN12</f>
      </c>
      <c r="E12" s="153">
        <f>BO12</f>
      </c>
      <c r="F12" s="106">
        <f>BP12</f>
      </c>
      <c r="G12" s="106">
        <f>BQ12</f>
      </c>
      <c r="H12" s="92"/>
      <c r="I12" s="151"/>
      <c r="J12" s="151"/>
      <c r="K12" s="151"/>
      <c r="L12" s="151"/>
      <c r="M12" s="151"/>
      <c r="N12" s="151"/>
      <c r="O12" s="151"/>
      <c r="P12" s="151"/>
      <c r="Q12" s="92"/>
      <c r="R12" s="92"/>
      <c r="S12" s="92"/>
      <c r="T12" s="92"/>
      <c r="U12" s="92"/>
      <c r="V12" s="92"/>
      <c r="W12" s="92"/>
      <c r="X12" s="92"/>
      <c r="Y12" s="92"/>
      <c r="Z12" s="92"/>
      <c r="AA12" s="92"/>
      <c r="AB12" s="92"/>
      <c r="AC12" s="92"/>
      <c r="AD12" s="92"/>
      <c r="AE12" s="92"/>
      <c r="AF12" s="92"/>
      <c r="AG12" s="92"/>
      <c r="AH12" s="92"/>
      <c r="AI12" s="92"/>
      <c r="AJ12" s="92"/>
      <c r="AK12" s="92"/>
      <c r="AL12" s="92"/>
      <c r="AM12" s="92"/>
      <c r="AN12" s="92"/>
      <c r="AO12" s="92"/>
      <c r="AP12" s="92"/>
      <c r="AQ12" s="92"/>
      <c r="AR12" s="92"/>
      <c r="AS12" s="92"/>
      <c r="AT12" s="92"/>
      <c r="AU12" s="92"/>
      <c r="AV12" s="92"/>
      <c r="AW12" s="92"/>
      <c r="AX12" s="92"/>
      <c r="AY12" s="92"/>
      <c r="AZ12" s="92"/>
      <c r="BA12" s="92"/>
      <c r="BB12" s="92"/>
      <c r="BC12" s="92"/>
      <c r="BD12" s="92"/>
      <c r="BE12" s="92"/>
      <c r="BF12" s="92"/>
      <c r="BG12" s="92"/>
      <c r="BH12" s="92"/>
      <c r="BI12" s="92"/>
      <c r="BJ12" s="92"/>
      <c r="BK12" s="92"/>
      <c r="BL12" s="152" t="str">
        <v>西雅图788</v>
      </c>
      <c r="BM12" s="126">
        <f>IFERROR(IF($E$4="","-",IF(AND($G$4="卡派",$F$4="KG",$C$4="珠三角",$D$4="亚马逊"),CONCATENATE("8KG+："&amp;VLOOKUP("*"&amp;$E$4&amp;"*",'美西普船专线'!$K$7:$N$10,2,0),"                            101KG+："&amp;VLOOKUP("*"&amp;$E$4&amp;"*",'美西普船专线'!$K$7:$N$10,3,0)),IF(AND($G$4="卡派",$F$4="KG",$C$4="汕头仓",$D$4="亚马逊"),CONCATENATE("8KG+："&amp;VLOOKUP("*"&amp;$E$4&amp;"*",'美西普船专线'!$K$7:$N$10,2,0),"                            101KG+："&amp;VLOOKUP("*"&amp;$E$4&amp;"*",'美西普船专线'!$K$7:$N$10,3,0)),IF(AND($G$4="卡派",$F$4="KG",$C$4="义乌仓",$D$4="亚马逊"),CONCATENATE("8KG+："&amp;VLOOKUP("*"&amp;$E$4&amp;"*",'美西普船专线'!$K$7:$N$10,2,0),"                            101KG+："&amp;VLOOKUP("*"&amp;$E$4&amp;"*",'美西普船专线'!$K$7:$N$10,3,0)),IF(AND($G$4="卡派",$F$4="按方不包税",$C$4="珠三角",$D$4="亚马逊"),CONCATENATE("2CBM+："&amp;VLOOKUP("*"&amp;$E$4&amp;"*",'按方不包税'!$A$71:$E$74,2,0)),IF(AND($G$4="卡派",$F$4="按方不包税",$C$4="汕头仓",$D$4="亚马逊"),CONCATENATE("2CBM+："&amp;VLOOKUP("*"&amp;$E$4&amp;"*",'按方不包税'!$A$71:$E$74,2,0)),IF(AND($G$4="卡派",$F$4="按方不包税",$C$4="义乌仓",$D$4="亚马逊"),CONCATENATE("2CBM+："&amp;VLOOKUP("*"&amp;$E$4&amp;"*",'按方不包税'!$A$71:$E$74,2,0)),"-"))))))),"-")</f>
      </c>
      <c r="BN12" s="154">
        <f>IFERROR(IF($E$4="","-",IF(AND($G$4="卡派",$F$4="KG",$C$4="珠三角",$D$4="亚马逊"),VLOOKUP("*"&amp;$E$4&amp;"*",'美西普船专线'!$K$7:$N$10,4,0),IF(AND($G$4="卡派",$F$4="KG",$C$4="汕头仓",$D$4="亚马逊"),VLOOKUP("*"&amp;$E$4&amp;"*",'美西普船专线'!$K$7:$N$10,4,0),IF(AND($G$4="卡派",$F$4="KG",$C$4="义乌仓",$D$4="亚马逊"),VLOOKUP("*"&amp;$E$4&amp;"*",'美西普船专线'!$K$7:$N$10,4,0),IF(AND($G$4="卡派",$F$4="按方不包税KG",$C$4="珠三角",$D$4="亚马逊"),VLOOKUP("*"&amp;$E$4&amp;"*",'按方不包税'!$B$72:$E$75,4,0),IF(AND($G$4="卡派",$F$4="按方不包税",$C$4="汕头仓",$D$4="亚马逊"),VLOOKUP("*"&amp;$E$4&amp;"*",'按方不包税'!$B$72:$E$75,5,0),IF(AND($G$4="卡派",$F$4="按方不包税2CBM+",$C$4="义乌仓",$D$4="亚马逊"),VLOOKUP("*"&amp;$E$4&amp;"*",'按方不包税'!$B$72:$E$75,4,0),"-"))))))),"-")</f>
      </c>
      <c r="BO12" s="153">
        <f>CONCATENATE("①",'海运船期表'!$B$17,"-"&amp;'海运船期表'!$C$17," : ",TEXT('海运船期表'!$I$17,"MM-DD"),"                                       ②",'海运船期表'!$B$18,"-"&amp;'海运船期表'!$C$18," : ",TEXT('海运船期表'!$I$18,"MM-DD"))</f>
      </c>
      <c r="BP12" s="153">
        <f>CONCATENATE("①",'海运船期表'!$B$17,"-"&amp;'海运船期表'!$C$17," : ",TEXT('海运船期表'!$J$17,"MM-DD"),"                                            ②",'海运船期表'!$B$18,"-"&amp;'海运船期表'!$C$18," : ",TEXT('海运船期表'!$J$18,"MM-DD"))</f>
      </c>
      <c r="BQ12" s="106">
        <f>CONCATENATE("①："&amp;'海运船期表'!$K$17,"                              ②："&amp;'海运船期表'!$K$18)</f>
      </c>
    </row>
    <row customHeight="true" ht="61" r="13">
      <c r="A13" s="92"/>
      <c r="B13" s="152" t="str">
        <v>芝加哥840</v>
      </c>
      <c r="C13" s="126">
        <f>BM13</f>
      </c>
      <c r="D13" s="154">
        <f>BN13</f>
      </c>
      <c r="E13" s="154">
        <f>BO13</f>
      </c>
      <c r="F13" s="154">
        <f>BP13</f>
      </c>
      <c r="G13" s="154">
        <f>BQ13</f>
      </c>
      <c r="H13" s="92"/>
      <c r="I13" s="92"/>
      <c r="J13" s="92"/>
      <c r="K13" s="92"/>
      <c r="L13" s="92"/>
      <c r="M13" s="92"/>
      <c r="N13" s="92"/>
      <c r="O13" s="92"/>
      <c r="P13" s="92"/>
      <c r="Q13" s="92"/>
      <c r="R13" s="92"/>
      <c r="S13" s="92"/>
      <c r="T13" s="92"/>
      <c r="U13" s="92"/>
      <c r="V13" s="92"/>
      <c r="W13" s="92"/>
      <c r="X13" s="92"/>
      <c r="Y13" s="92"/>
      <c r="Z13" s="92"/>
      <c r="AA13" s="92"/>
      <c r="AB13" s="92"/>
      <c r="AC13" s="92"/>
      <c r="AD13" s="92"/>
      <c r="AE13" s="92"/>
      <c r="AF13" s="92"/>
      <c r="AG13" s="92"/>
      <c r="AH13" s="92"/>
      <c r="AI13" s="92"/>
      <c r="AJ13" s="92"/>
      <c r="AK13" s="92"/>
      <c r="AL13" s="92"/>
      <c r="AM13" s="92"/>
      <c r="AN13" s="92"/>
      <c r="AO13" s="92"/>
      <c r="AP13" s="92"/>
      <c r="AQ13" s="92"/>
      <c r="AR13" s="92"/>
      <c r="AS13" s="92"/>
      <c r="AT13" s="92"/>
      <c r="AU13" s="92"/>
      <c r="AV13" s="92"/>
      <c r="AW13" s="92"/>
      <c r="AX13" s="92"/>
      <c r="AY13" s="92"/>
      <c r="AZ13" s="92"/>
      <c r="BA13" s="92"/>
      <c r="BB13" s="92"/>
      <c r="BC13" s="92"/>
      <c r="BD13" s="92"/>
      <c r="BE13" s="92"/>
      <c r="BF13" s="92"/>
      <c r="BG13" s="92"/>
      <c r="BH13" s="92"/>
      <c r="BI13" s="92"/>
      <c r="BJ13" s="92"/>
      <c r="BK13" s="92"/>
      <c r="BL13" s="106" t="str">
        <v>芝加哥840</v>
      </c>
      <c r="BM13" s="106">
        <f>IFERROR(IF($E$4="","-",IF(AND($G$4="卡派",$F$4="KG",$C$4="珠三角",$D$4="亚马逊"),CONCATENATE("8KG+："&amp;VLOOKUP("*"&amp;$E$4&amp;"*",'美中普船专线'!$A$7:$D$11,2,0),"                            101KG+："&amp;VLOOKUP("*"&amp;$E$4&amp;"*",'美中普船专线'!$A$7:$D$11,3,0)),IF(AND($G$4="卡派",$F$4="KG",$C$4="汕头仓",$D$4="亚马逊"),CONCATENATE("8KG+："&amp;VLOOKUP("*"&amp;$E$4&amp;"*",'美中普船专线'!$A$7:$D$11,2,0),"                            101KG+："&amp;VLOOKUP("*"&amp;$E$4&amp;"*",'美中普船专线'!$A$7:$D$11,3,0)),IF(AND($G$4="卡派",$F$4="KG",$C$4="义乌仓",$D$4="亚马逊"),CONCATENATE("8KG+："&amp;VLOOKUP("*"&amp;$E$4&amp;"*",'美中普船专线'!$A$7:$D$11,3,0),"                            101KG+："&amp;VLOOKUP("*"&amp;$E$4&amp;"*",'美中普船专线'!$A$7:$D$11,3,0)),IF(AND($G$4="卡派",$F$4="按方不包税",$C$4="珠三角",$D$4="亚马逊"),CONCATENATE("2CBM+："&amp;VLOOKUP("*"&amp;$E$4&amp;"*",'按方不包税'!$A$80:$E$82,2,0)),IF(AND($G$4="卡派",$F$4="按方不包税",$C$4="汕头仓",$D$4="亚马逊"),CONCATENATE("2CBM+："&amp;VLOOKUP("*"&amp;$E$4&amp;"*",'按方不包税'!$A$80:$E$82,2,0)),IF(AND($G$4="卡派",$F$4="按方不包税",$C$4="义乌仓",$D$4="亚马逊"),CONCATENATE("2CBM+："&amp;VLOOKUP("*"&amp;$E$4&amp;"*",'按方不包税'!$A$80:$E$82,2,0)),IF(AND($G$4="卡派",$F$4="KG",$C$4="珠三角",$D$4="沃尔玛专线"),CONCATENATE("501KG+："&amp;VLOOKUP("*"&amp;$E$4&amp;"*",'沃尔玛专线'!$A$14:$G$16,4,0),"                            3001KG+："&amp;VLOOKUP("*"&amp;$E$4&amp;"*",'沃尔玛专线'!$A$14:$G$16,5,0),"                            5001KG+："&amp;VLOOKUP("*"&amp;$E$4&amp;"*",'沃尔玛专线'!$A$14:$G$16,6,0)),IF(AND($G$4="卡派",$F$4="KG",$C$4="汕头仓",$D$4="沃尔玛专线"),CONCATENATE("501kg+："&amp;VLOOKUP("*"&amp;$E$4&amp;"*",'沃尔玛专线'!$A$14:$G$16,7,0),"                            3001kg+："&amp;VLOOKUP("*"&amp;$E$4&amp;"*",'沃尔玛专线'!$A$14:$G$16,8,0),"                            5001kg+："&amp;VLOOKUP("*"&amp;$E$4&amp;"*",'沃尔玛专线'!$A$14:$G$16,9,0)),IF(AND($G$4="卡派",$F$4="KG",$C$4="义乌仓",$D$4="沃尔玛专线"),CONCATENATE("501KG+："&amp;VLOOKUP("*"&amp;$E$4&amp;"*",'沃尔玛专线'!$A$14:$G$16,10,0),"                            3001KG+："&amp;VLOOKUP("*"&amp;$E$4&amp;"*",'沃尔玛专线'!$A$14:$G$16,11,0),"                            5001KG+："&amp;VLOOKUP("*"&amp;$E$4&amp;"*",'沃尔玛专线'!$A$14:$G$16,12,0)),"-")))))))))),"-")</f>
      </c>
      <c r="BN13" s="106">
        <f>IFERROR(IF($E$4="","-",IF(AND($G$4="卡派",$F$4="KG",$C$4="珠三角",$D$4="亚马逊"),VLOOKUP("*"&amp;$E$4&amp;"*",'美中普船专线'!$A$7:$D$11,4,0),IF(AND($G$4="卡派",$F$4="KG",$C$4="汕头仓",$D$4="亚马逊"),VLOOKUP("*"&amp;$E$4&amp;"*",'美中普船专线'!$A$7:$D$11,4,0),IF(AND($G$4="卡派",$F$4="KG",$C$4="义乌仓",$D$4="亚马逊"),VLOOKUP("*"&amp;$E$4&amp;"*",'美中普船专线'!$A$7:$D$11,4,0),IF(AND($G$4="卡派",$F$4="按方不包税",$C$4="珠三角",$D$4="亚马逊"),VLOOKUP("*"&amp;$E$4&amp;"*",'按方不包税'!$A$81:$E$83,4,0),IF(AND($G$4="卡派",$F$4="按方不包税",$C$4="汕头仓",$D$4="亚马逊"),VLOOKUP("*"&amp;$E$4&amp;"*",'按方不包税'!$A$81:$E$83,4,0),IF(AND($G$4="卡派",$F$4="按方不包税",$C$4="义乌仓",$D$4="亚马逊"),VLOOKUP("*"&amp;$E$4&amp;"*",'按方不包税'!$A$81:$E$83,4,0),IF(AND($G$4="卡派",$F$4="KG",$C$4="珠三角",$D$4="沃尔玛专线"),VLOOKUP("*"&amp;$E$4&amp;"*",'沃尔玛专线'!$A$14:$G$16,7,0),IF(AND($G$4="卡派",$F$4="KG",$C$4="汕头仓",$D$4="沃尔玛专线"),VLOOKUP("*"&amp;$E$4&amp;"*",'沃尔玛专线'!$A$14:$G$16,7,0),IF(AND($G$4="卡派",$F$4="KG",$C$4="义乌仓",$D$4="沃尔玛专线"),VLOOKUP("*"&amp;$E$4&amp;"*",'沃尔玛专线'!$A$14:$G$16,7,0),"-")))))))))),"-")</f>
      </c>
      <c r="BO13" s="153">
        <f>CONCATENATE("①",'海运船期表'!$B$19,"-"&amp;'海运船期表'!$C$19," : ",TEXT('海运船期表'!$I$19,"MM-DD"),"                                             ②",'海运船期表'!$B$20,"-"&amp;'海运船期表'!$C$20," : ",TEXT('海运船期表'!$I$20,"MM-DD"))</f>
      </c>
      <c r="BP13" s="153">
        <f>CONCATENATE("①",'海运船期表'!$B$19,"-"&amp;'海运船期表'!$C$19," : ",TEXT('海运船期表'!$J$19,"MM-DD"),"                                         ②",'海运船期表'!$B$20,"-"&amp;'海运船期表'!$C$20," : ",TEXT('海运船期表'!$J$20,"MM-DD"))</f>
      </c>
      <c r="BQ13" s="106">
        <f>CONCATENATE("①："&amp;'海运船期表'!$K$19,"                              ②："&amp;'海运船期表'!$K$20)</f>
      </c>
    </row>
    <row customHeight="true" ht="45" r="14">
      <c r="A14" s="92"/>
      <c r="B14" s="155" t="str">
        <v>休斯顿866</v>
      </c>
      <c r="C14" s="106">
        <f>BM14</f>
      </c>
      <c r="D14" s="106">
        <f>BN14</f>
      </c>
      <c r="E14" s="153">
        <f>BO14</f>
      </c>
      <c r="F14" s="106">
        <f>BP14</f>
      </c>
      <c r="G14" s="106">
        <f>BQ14</f>
      </c>
      <c r="H14" s="92"/>
      <c r="I14" s="92"/>
      <c r="J14" s="92"/>
      <c r="K14" s="92"/>
      <c r="L14" s="92"/>
      <c r="M14" s="92"/>
      <c r="N14" s="92"/>
      <c r="O14" s="92"/>
      <c r="P14" s="92"/>
      <c r="Q14" s="92"/>
      <c r="R14" s="92"/>
      <c r="S14" s="92"/>
      <c r="T14" s="92"/>
      <c r="U14" s="92"/>
      <c r="V14" s="92"/>
      <c r="W14" s="92"/>
      <c r="X14" s="92"/>
      <c r="Y14" s="92"/>
      <c r="Z14" s="92"/>
      <c r="AA14" s="92"/>
      <c r="AB14" s="92"/>
      <c r="AC14" s="92"/>
      <c r="AD14" s="92"/>
      <c r="AE14" s="92"/>
      <c r="AF14" s="92"/>
      <c r="AG14" s="92"/>
      <c r="AH14" s="92"/>
      <c r="AI14" s="92"/>
      <c r="AJ14" s="92"/>
      <c r="AK14" s="92"/>
      <c r="AL14" s="92"/>
      <c r="AM14" s="92"/>
      <c r="AN14" s="92"/>
      <c r="AO14" s="92"/>
      <c r="AP14" s="92"/>
      <c r="AQ14" s="92"/>
      <c r="AR14" s="92"/>
      <c r="AS14" s="92"/>
      <c r="AT14" s="92"/>
      <c r="AU14" s="92"/>
      <c r="AV14" s="92"/>
      <c r="AW14" s="92"/>
      <c r="AX14" s="92"/>
      <c r="AY14" s="92"/>
      <c r="AZ14" s="92"/>
      <c r="BA14" s="92"/>
      <c r="BB14" s="92"/>
      <c r="BC14" s="92"/>
      <c r="BD14" s="92"/>
      <c r="BE14" s="92"/>
      <c r="BF14" s="92"/>
      <c r="BG14" s="92"/>
      <c r="BH14" s="92"/>
      <c r="BI14" s="92"/>
      <c r="BJ14" s="92"/>
      <c r="BK14" s="92"/>
      <c r="BL14" s="152" t="str">
        <v>休斯顿866</v>
      </c>
      <c r="BM14" s="126">
        <f>IFERROR(IF($E$4="","-",IF(AND($G$4="卡派",$F$4="KG",$C$4="珠三角",$D$4="亚马逊"),CONCATENATE("8KG+："&amp;VLOOKUP("*"&amp;$E$4&amp;"*",'美中普船专线'!$F$7:$I$11,2,0),"                            101KG+："&amp;VLOOKUP("*"&amp;$E$4&amp;"*",'美中普船专线'!$F$7:$I$11,3,0)),IF(AND($G$4="卡派",$F$4="KG",$C$4="汕头仓",$D$4="亚马逊"),CONCATENATE("8KG+："&amp;VLOOKUP("*"&amp;$E$4&amp;"*",'美中普船专线'!$F$7:$I$11,2,0),"                            101KG+："&amp;VLOOKUP("*"&amp;$E$4&amp;"*",'美中普船专线'!$F$7:$I$11,3,0)),IF(AND($G$4="卡派",$F$4="KG",$C$4="义乌仓",$D$4="亚马逊"),CONCATENATE("8KG+："&amp;VLOOKUP("*"&amp;$E$4&amp;"*",'美中普船专线'!$F$7:$I$11,2,0),"                            101KG+："&amp;VLOOKUP("*"&amp;$E$4&amp;"*",'美中普船专线'!$F$7:$I$11,3,0)),IF(AND($G$4="卡派",$F$4="按方不包税",$C$4="珠三角",$D$4="亚马逊"),CONCATENATE("2CBM+："&amp;VLOOKUP("*"&amp;$E$4&amp;"*",'按方不包税'!$A$89:$E$91,2,0)),IF(AND($G$4="卡派",$F$4="按方不包税",$C$4="汕头仓",$D$4="亚马逊"),CONCATENATE("2CBM+："&amp;VLOOKUP("*"&amp;$E$4&amp;"*",'按方不包税'!$A$89:$E$91,2,0)),IF(AND($G$4="卡派",$F$4="按方不包税",$C$4="义乌仓",$D$4="亚马逊"),CONCATENATE("2CBM+："&amp;VLOOKUP("*"&amp;$E$4&amp;"*",'按方不包税'!$A$89:$E$91,3,0)),IF(AND($G$4="卡派",$F$4="KG",$C$4="珠三角",$D$4="沃尔玛专线"),CONCATENATE("501KG+："&amp;VLOOKUP("*"&amp;$E$4&amp;"*",'沃尔玛专线'!$A$17:$G$17,4,0),"                            3001KG+："&amp;VLOOKUP("*"&amp;$E$4&amp;"*",'沃尔玛专线'!$A$17:$G$17,5,0),"                            5001KG+："&amp;VLOOKUP("*"&amp;$E$4&amp;"*",'沃尔玛专线'!$A$17:$G$17,6,0)),IF(AND($G$4="卡派",$F$4="KG",$C$4="汕头仓",$D$4="沃尔玛专线"),CONCATENATE("501kg+："&amp;VLOOKUP("*"&amp;$E$4&amp;"*",'沃尔玛专线'!$A$17:$G$17,4,0),"                            3001kg+："&amp;VLOOKUP("*"&amp;$E$4&amp;"*",'沃尔玛专线'!$A$17:$G$17,5,0),"                            5001kg+："&amp;VLOOKUP("*"&amp;$E$4&amp;"*",'沃尔玛专线'!$A$17:$G$17,6,0)),IF(AND($G$4="卡派",$F$4="KG",$C$4="义乌仓",$D$4="沃尔玛专线"),CONCATENATE("501KG+："&amp;VLOOKUP("*"&amp;$E$4&amp;"*",'沃尔玛专线'!$A$17:$G$17,4,0),"                            3001KG+："&amp;VLOOKUP("*"&amp;$E$4&amp;"*",'沃尔玛专线'!$A$17:$G$17,5,0),"                            5001KG+："&amp;VLOOKUP("*"&amp;$E$4&amp;"*",'沃尔玛专线'!$A$17:$G$17,6,0)),"-")))))))))),"-")</f>
      </c>
      <c r="BN14" s="154">
        <f>IFERROR(IF($E$4="","-",IF(AND($G$4="卡派",$F$4="KG",$C$4="珠三角",$D$4="亚马逊"),VLOOKUP("*"&amp;$E$4&amp;"*",'美中普船专线'!$F$7:$I$11,4,0),IF(AND($G$4="卡派",$F$4="KG",$C$4="汕头仓",$D$4="亚马逊"),VLOOKUP("*"&amp;$E$4&amp;"*",'美中普船专线'!$F$7:$I$11,4,0),IF(AND($G$4="卡派",$F$4="KG",$C$4="义乌仓",$D$4="亚马逊"),VLOOKUP("*"&amp;$E$4&amp;"*",'美中普船专线'!$F$7:$I$11,4,0),IF(AND($G$4="卡派",$F$4="按方不包税",$C$4="珠三角",$D$4="亚马逊"),VLOOKUP("*"&amp;$E$4&amp;"*",'按方不包税'!$A$90:$E$92,4,0),IF(AND($G$4="卡派",$F$4="按方不包税",$C$4="汕头仓",$D$4="亚马逊"),VLOOKUP("*"&amp;$E$4&amp;"*",'按方不包税'!$A$90:$E$92,4,0),IF(AND($G$4="卡派",$F$4="按方不包税",$C$4="义乌仓",$D$4="亚马逊"),VLOOKUP("*"&amp;$E$4&amp;"*",'按方不包税'!$A$90:$E$92,4,0),IF(AND($G$4="卡派",$F$4="KG",$C$4="珠三角",$D$4="沃尔玛专线"),VLOOKUP("*"&amp;$E$4&amp;"*",'沃尔玛专线'!$A$17:$G$17,7,0),IF(AND($G$4="卡派",$F$4="KG",$C$4="汕头仓",$D$4="沃尔玛专线"),VLOOKUP("*"&amp;$E$4&amp;"*",'沃尔玛专线'!$A$17:$G$17,7,0),IF(AND($G$4="卡派",$F$4="KG",$C$4="义乌仓",$D$4="沃尔玛专线"),VLOOKUP("*"&amp;$E$4&amp;"*",'沃尔玛专线'!$A$17:$G$17,7,0),"-")))))))))),"-")</f>
      </c>
      <c r="BO14" s="153">
        <f>CONCATENATE("①",'海运船期表'!$B$21,"-"&amp;'海运船期表'!$C$21," : ",TEXT('海运船期表'!$I$21,"MM-DD"),"                                     ②",'海运船期表'!$B$22,"-"&amp;'海运船期表'!$C$22," : ",TEXT('海运船期表'!$I$22,"MM-DD"))</f>
      </c>
      <c r="BP14" s="153">
        <f>CONCATENATE("①",'海运船期表'!$B$21,"-"&amp;'海运船期表'!$C$21," : ",TEXT('海运船期表'!$J$21,"MM-DD"),"                                         ②",'海运船期表'!$B$22,"-"&amp;'海运船期表'!$C$22," : ",TEXT('海运船期表'!$J$22,"MM-DD"))</f>
      </c>
      <c r="BQ14" s="106">
        <f>CONCATENATE("①："&amp;'海运船期表'!$K$21,"                              ②："&amp;'海运船期表'!$K$22)</f>
      </c>
    </row>
    <row customHeight="true" ht="49" r="15">
      <c r="A15" s="92"/>
      <c r="B15" s="152" t="str">
        <v>萨凡纳888</v>
      </c>
      <c r="C15" s="126">
        <f>BM15</f>
      </c>
      <c r="D15" s="154">
        <f>BN15</f>
      </c>
      <c r="E15" s="154">
        <f>BO15</f>
      </c>
      <c r="F15" s="154">
        <f>BP15</f>
      </c>
      <c r="G15" s="154">
        <f>BQ15</f>
      </c>
      <c r="H15" s="92"/>
      <c r="I15" s="92"/>
      <c r="J15" s="92"/>
      <c r="K15" s="92"/>
      <c r="L15" s="92"/>
      <c r="M15" s="92"/>
      <c r="N15" s="92"/>
      <c r="O15" s="92"/>
      <c r="P15" s="92"/>
      <c r="Q15" s="92"/>
      <c r="R15" s="92"/>
      <c r="S15" s="92"/>
      <c r="T15" s="92"/>
      <c r="U15" s="92"/>
      <c r="V15" s="92"/>
      <c r="W15" s="92"/>
      <c r="X15" s="92"/>
      <c r="Y15" s="92"/>
      <c r="Z15" s="92"/>
      <c r="AA15" s="92"/>
      <c r="AB15" s="92"/>
      <c r="AC15" s="92"/>
      <c r="AD15" s="92"/>
      <c r="AE15" s="92"/>
      <c r="AF15" s="92"/>
      <c r="AG15" s="92"/>
      <c r="AH15" s="92"/>
      <c r="AI15" s="92"/>
      <c r="AJ15" s="92"/>
      <c r="AK15" s="92"/>
      <c r="AL15" s="92"/>
      <c r="AM15" s="92"/>
      <c r="AN15" s="92"/>
      <c r="AO15" s="92"/>
      <c r="AP15" s="92"/>
      <c r="AQ15" s="92"/>
      <c r="AR15" s="92"/>
      <c r="AS15" s="92"/>
      <c r="AT15" s="92"/>
      <c r="AU15" s="92"/>
      <c r="AV15" s="92"/>
      <c r="AW15" s="92"/>
      <c r="AX15" s="92"/>
      <c r="AY15" s="92"/>
      <c r="AZ15" s="92"/>
      <c r="BA15" s="92"/>
      <c r="BB15" s="92"/>
      <c r="BC15" s="92"/>
      <c r="BD15" s="92"/>
      <c r="BE15" s="92"/>
      <c r="BF15" s="92"/>
      <c r="BG15" s="92"/>
      <c r="BH15" s="92"/>
      <c r="BI15" s="92"/>
      <c r="BJ15" s="92"/>
      <c r="BK15" s="92"/>
      <c r="BL15" s="106" t="str">
        <v>萨凡纳888</v>
      </c>
      <c r="BM15" s="106">
        <f>IFERROR(IF($E$4="","-",IF(AND($G$4="卡派",$F$4="KG",$C$4="珠三角",$D$4="亚马逊"),CONCATENATE("8KG+："&amp;VLOOKUP("*"&amp;$E$4&amp;"*",'美东普船专线'!$A$7:$D$12,2,0),"                            101KG+："&amp;VLOOKUP("*"&amp;$E$4&amp;"*",'美东普船专线'!$A$7:$D$12,3,0)),IF(AND($G$4="卡派",$F$4="KG",$C$4="汕头仓",$D$4="亚马逊"),CONCATENATE("8KG+："&amp;VLOOKUP("*"&amp;$E$4&amp;"*",'美东普船专线'!$A$7:$D$12,2,0),"                            101KG+："&amp;VLOOKUP("*"&amp;$E$4&amp;"*",'美东普船专线'!$A$7:$D$12,3,0)),IF(AND($G$4="卡派",$F$4="KG",$C$4="义乌仓",$D$4="亚马逊"),CONCATENATE("8KG+："&amp;VLOOKUP("*"&amp;$E$4&amp;"*",'美东普船专线'!$A$7:$D$12,2,0),"                            101KG+："&amp;VLOOKUP("*"&amp;$E$4&amp;"*",'美东普船专线'!$A$7:$D$12,3,0)),IF(AND($G$4="卡派",$F$4="按方不包税",$C$4="珠三角",$D$4="亚马逊"),CONCATENATE("2CBM+："&amp;VLOOKUP("*"&amp;$E$4&amp;"*",'按方不包税'!$A$98:$E$100,2,0)),IF(AND($G$4="卡派",$F$4="按方不包税",$C$4="汕头仓",$D$4="亚马逊"),CONCATENATE("2CBM+："&amp;VLOOKUP("*"&amp;$E$4&amp;"*",'按方不包税'!$A$98:$E$100,2,0)),IF(AND($G$4="卡派",$F$4="按方不包税",$C$4="义乌仓",$D$4="亚马逊"),CONCATENATE("2CBM+："&amp;VLOOKUP("*"&amp;$E$4&amp;"*",'按方不包税'!$A$98:$E$100,2,0)),"-"))))))),"-")</f>
      </c>
      <c r="BN15" s="106">
        <f>IFERROR(IF($E$4="","-",IF(AND($G$4="卡派",$F$4="KG",$C$4="珠三角",$D$4="亚马逊"),VLOOKUP("*"&amp;$E$4&amp;"*",'美东普船专线'!$A$7:$D$12,4,0),IF(AND($G$4="卡派",$F$4="KG",$C$4="汕头仓",$D$4="亚马逊"),VLOOKUP("*"&amp;$E$4&amp;"*",'美东普船专线'!$A$7:$D$12,4,0),IF(AND($G$4="卡派",$F$4="KG",$C$4="义乌仓",$D$4="亚马逊"),VLOOKUP("*"&amp;$E$4&amp;"*",'美东普船专线'!$A$7:$D$12,4,0),IF(AND($G$4="卡派",$F$4="按方不包税",$C$4="珠三角",$D$4="亚马逊"),VLOOKUP("*"&amp;$E$4&amp;"*",'按方不包税'!$A$98:$E$100,4,0),IF(AND($G$4="卡派",$F$4="按方不包税",$C$4="汕头仓",$D$4="亚马逊"),VLOOKUP("*"&amp;$E$4&amp;"*",'按方不包税'!$A$98:$E$100,4,0),IF(AND($G$4="卡派",$F$4="按方不包税",$C$4="义乌仓",$D$4="亚马逊"),VLOOKUP("*"&amp;$E$4&amp;"*",'按方不包税'!$A$98:$E$100,4,0),"-"))))))),"-")</f>
      </c>
      <c r="BO15" s="153">
        <f>CONCATENATE("①",'海运船期表'!$B$23,"-"&amp;'海运船期表'!$C$23," : ",TEXT('海运船期表'!$I$23,"MM-DD"),"                             ②",'海运船期表'!$B$24,"-"&amp;'海运船期表'!$C$24," : ",TEXT('海运船期表'!$I$24,"MM-DD"))</f>
      </c>
      <c r="BP15" s="153">
        <f>CONCATENATE("①",'海运船期表'!$B$23,"-"&amp;'海运船期表'!$C$23," : ",TEXT('海运船期表'!$J$23,"MM-DD"),"                                         ②",'海运船期表'!$B$24,"-"&amp;'海运船期表'!$C$24," : ",TEXT('海运船期表'!$J$24,"MM-DD"))</f>
      </c>
      <c r="BQ15" s="106">
        <f>CONCATENATE("①："&amp;'海运船期表'!$K$23,"                              ②："&amp;'海运船期表'!$K$24)</f>
      </c>
    </row>
    <row customHeight="true" ht="61" r="16">
      <c r="B16" s="155" t="str">
        <v>纽约960</v>
      </c>
      <c r="C16" s="106">
        <f>BM16</f>
      </c>
      <c r="D16" s="106">
        <f>BN16</f>
      </c>
      <c r="E16" s="153">
        <f>BO16</f>
      </c>
      <c r="F16" s="106">
        <f>BP16</f>
      </c>
      <c r="G16" s="106">
        <f>BQ16</f>
      </c>
      <c r="BL16" s="152" t="str">
        <v>纽约960</v>
      </c>
      <c r="BM16" s="126">
        <f>IFERROR(IF($E$4="","-",IF(AND($G$4="卡派",$F$4="KG",$C$4="珠三角",$D$4="亚马逊"),CONCATENATE("8KG+："&amp;VLOOKUP("*"&amp;$E$4&amp;"*",'美东普船专线'!$F$7:$I$13,2,0),"                            101KG+："&amp;VLOOKUP("*"&amp;$E$4&amp;"*",'美东普船专线'!$F$7:$I$13,3,0)),IF(AND($G$4="卡派",$F$4="KG",$C$4="汕头仓",$D$4="亚马逊"),CONCATENATE("8KG+："&amp;VLOOKUP("*"&amp;$E$4&amp;"*",'美东普船专线'!$F$7:$I$13,2,0),"                            101KG+："&amp;VLOOKUP("*"&amp;$E$4&amp;"*",'美东普船专线'!$F$7:$I$13,3,0)),IF(AND($G$4="卡派",$F$4="KG",$C$4="义乌仓",$D$4="亚马逊"),CONCATENATE("8KG+："&amp;VLOOKUP("*"&amp;$E$4&amp;"*",'美东普船专线'!$F$7:$I$13,2,0),"                            101KG+："&amp;VLOOKUP("*"&amp;$E$4&amp;"*",'美东普船专线'!$F$7:$I$13,3,0)),IF(AND($G$4="卡派",$F$4="按方不包税",$C$4="珠三角",$D$4="亚马逊"),CONCATENATE("2BCM+："&amp;VLOOKUP("*"&amp;$E$4&amp;"*",'按方不包税'!$A$104:$E$109,2,0)),IF(AND($G$4="卡派",$F$4="按方不包税",$C$4="汕头仓",$D$4="亚马逊"),CONCATENATE("2BCM+："&amp;VLOOKUP("*"&amp;$E$4&amp;"*",'按方不包税'!$A$104:$E$109,2,0)),IF(AND($G$4="卡派",$F$4="按方不包税",$C$4="义乌仓",$D$4="亚马逊"),CONCATENATE("2BCM+："&amp;VLOOKUP("*"&amp;$E$4&amp;"*",'按方不包税'!$A$104:$E$109,2,0)),IF(AND($G$4="卡派",$F$4="KG",$C$4="珠三角",$D$4="沃尔玛专线"),CONCATENATE("501KG+："&amp;VLOOKUP("*"&amp;$E$4&amp;"*",'沃尔玛专线'!$A$20:$G$22,4,0),"                            3001KG+："&amp;VLOOKUP("*"&amp;$E$4&amp;"*",'沃尔玛专线'!$A$20:$G$22,5,0),"                            5001KG+："&amp;VLOOKUP("*"&amp;$E$4&amp;"*",'沃尔玛专线'!$A$20:$G$22,6,0)),IF(AND($G$4="卡派",$F$4="KG",$C$4="汕头仓",$D$4="沃尔玛专线"),CONCATENATE("501KG+："&amp;VLOOKUP("*"&amp;$E$4&amp;"*",'沃尔玛专线'!$A$20:$G$22,4,0),"                            3001KG+："&amp;VLOOKUP("*"&amp;$E$4&amp;"*",'沃尔玛专线'!$A$20:$G$22,5,0),"                            5001KG+："&amp;VLOOKUP("*"&amp;$E$4&amp;"*",'沃尔玛专线'!$A$20:$G$22,6,0)),IF(AND($G$4="卡派",$F$4="KG",$C$4="义乌仓",$D$4="沃尔玛专线"),CONCATENATE("501KG+："&amp;VLOOKUP("*"&amp;$E$4&amp;"*",'沃尔玛专线'!$A$20:$G$22,4,0),"                            3001KG+："&amp;VLOOKUP("*"&amp;$E$4&amp;"*",'沃尔玛专线'!$A$20:$G$22,5,0),"                            5001KG+："&amp;VLOOKUP("*"&amp;$E$4&amp;"*",'沃尔玛专线'!$A$20:$G$22,5,0)),IF(AND($G$4="快递派",$F$4="KG",$C$4="珠三角",$D$4="亚马逊"),CONCATENATE("12KG+："&amp;VLOOKUP("*"&amp;$E$4&amp;"*",'海运快递派'!$A$37:$F$38,3,0),"                            51KG+："&amp;VLOOKUP("*"&amp;$E$4&amp;"*",'海运快递派'!$A$37:$F$38,4,0),"                            101KG+："&amp;VLOOKUP("*"&amp;$E$4&amp;"*",'海运快递派'!$A$37:$F$38,5,0)),IF(AND($G$4="快递派",$F$4="KG",$C$4="汕头仓",$D$4="亚马逊"),CONCATENATE("12KG+："&amp;VLOOKUP("*"&amp;$E$4&amp;"*",'海运快递派'!$A$37:$F$38,3,0),"                            51KG+："&amp;VLOOKUP("*"&amp;$E$4&amp;"*",'海运快递派'!$A$37:$F$38,4,0),"                            101KG+："&amp;VLOOKUP("*"&amp;$E$4&amp;"*",'海运快递派'!$A$37:$F$38,5,0)),IF(AND($G$4="快递派",$F$4="KG",$C$4="义乌仓",$D$4="亚马逊"),CONCATENATE("12KG+："&amp;VLOOKUP("*"&amp;$E$4&amp;"*",'海运快递派'!$A$37:$F$38,3,0),"                            51KG+："&amp;VLOOKUP("*"&amp;$E$4&amp;"*",'海运快递派'!$A$37:$F$38,4,0),"                            101KG+："&amp;VLOOKUP("*"&amp;$E$4&amp;"*",'海运快递派'!$A$37:$F$38,5,0)),"-"))))))))))))),"-")</f>
      </c>
      <c r="BN16" s="154">
        <f>IFERROR(IF($E$4="","-",IF(AND($G$4="卡派",$F$4="KG",$C$4="珠三角",$D$4="亚马逊"),VLOOKUP("*"&amp;$E$4&amp;"*",'美东普船专线'!$F$7:$I$14,4,0),IF(AND($G$4="卡派",$F$4="KG",$C$4="汕头仓",$D$4="亚马逊"),VLOOKUP("*"&amp;$E$4&amp;"*",'美东普船专线'!$F$7:$I$14,4,0),IF(AND($G$4="卡派",$F$4="KG",$C$4="义乌仓",$D$4="亚马逊"),VLOOKUP("*"&amp;$E$4&amp;"*",'美东普船专线'!$F$7:$I$14,4,0),IF(AND($G$4="卡派",$F$4="按方不包税",$C$4="珠三角",$D$4="亚马逊"),VLOOKUP("*"&amp;$E$4&amp;"*",'按方不包税'!$A$104:$E$110,4,0),IF(AND($G$4="卡派",$F$4="按方不包税",$C$4="汕头仓",$D$4="亚马逊"),VLOOKUP("*"&amp;$E$4&amp;"*",'按方不包税'!$A$104:$E$110,4,0),IF(AND($G$4="卡派",$F$4="按方不包税",$C$4="义乌仓",$D$4="亚马逊"),VLOOKUP("*"&amp;$E$4&amp;"*",'按方不包税'!$A$104:$E$110,4,0),IF(AND($G$4="卡派",$F$4="KG",$C$4="珠三角",$D$4="沃尔玛专线"),VLOOKUP("*"&amp;$E$4&amp;"*",'沃尔玛专线'!$A$20:$G$22,7,0),IF(AND($G$4="卡派",$F$4="KG",$C$4="汕头仓",$D$4="沃尔玛专线"),VLOOKUP("*"&amp;$E$4&amp;"*",'沃尔玛专线'!$A$20:$G$22,7,0),IF(AND($G$4="卡派",$F$4="KG",$C$4="义乌仓",$D$4="沃尔玛专线"),VLOOKUP("*"&amp;$E$4&amp;"*",'沃尔玛专线'!$A$20:$G$22,7,0),IF(AND($G$4="快递派",$F$4="KG",$C$4="珠三角",$D$4="亚马逊"),VLOOKUP("*"&amp;$E$4&amp;"*",'海运快递派'!$A$37:$F$38,6,0),IF(AND($G$4="快递派",$F$4="KG",$C$4="汕头仓",$D$4="亚马逊"),VLOOKUP("*"&amp;$E$4&amp;"*",'海运快递派'!$A$37:$F$38,6,0),IF(AND($G$4="快递派",$F$4="KG",$C$4="义乌仓",$D$4="亚马逊"),VLOOKUP("*"&amp;$E$4&amp;"*",'海运快递派'!$A$37:$F$38,6,0),"-"))))))))))))),"-")</f>
      </c>
      <c r="BO16" s="153">
        <f>CONCATENATE("①",'海运船期表'!$B$25,"-"&amp;'海运船期表'!$C$25," : ",TEXT('海运船期表'!$I$25,"MM-DD"),"                      ②",'海运船期表'!$B$26,"-"&amp;'海运船期表'!$C$26," : ",TEXT('海运船期表'!$I$26,"MM-DD"))</f>
      </c>
      <c r="BP16" s="153">
        <f>CONCATENATE("①",'海运船期表'!$B$25,"-"&amp;'海运船期表'!$C$25," : ",TEXT('海运船期表'!$J$25,"MM-DD"),"                                         ②",'海运船期表'!$B$26,"-"&amp;'海运船期表'!$C$26," : ",TEXT('海运船期表'!$J$26,"MM-DD"))</f>
      </c>
      <c r="BQ16" s="106">
        <f>CONCATENATE("①："&amp;'海运船期表'!$K$25,"                              ②："&amp;'海运船期表'!$K$26)</f>
      </c>
    </row>
    <row customHeight="true" ht="68" r="17">
      <c r="B17" s="152" t="str">
        <v>TY720-玩具专线</v>
      </c>
      <c r="C17" s="126">
        <f>BM17</f>
      </c>
      <c r="D17" s="154">
        <f>BN17</f>
      </c>
      <c r="E17" s="154">
        <f>BO17</f>
      </c>
      <c r="F17" s="154">
        <f>BP17</f>
      </c>
      <c r="G17" s="154">
        <f>BQ17</f>
      </c>
      <c r="BL17" s="152" t="str">
        <v>TY720</v>
      </c>
      <c r="BM17" s="126">
        <f>IFERROR(IF($E$4="","-",IF(AND($G$4="卡派",$F$4="KG",$C$4="珠三角",$D$4="亚马逊"),CONCATENATE("8KG+："&amp;VLOOKUP("*"&amp;$E$4&amp;"*",'普船玩具专线'!$A$5:$D$10,2,0),"                            101KG+："&amp;VLOOKUP("*"&amp;$E$4&amp;"*",'普船玩具专线'!$A$5:$D$10,3,0)),IF(AND($G$4="卡派",$F$4="KG",$C$4="汕头仓",$D$4="亚马逊"),CONCATENATE("8KG+："&amp;VLOOKUP("*"&amp;$E$4&amp;"*",'普船玩具专线'!$A$5:$D$10,2,0),"                            101KG+："&amp;VLOOKUP("*"&amp;$E$4&amp;"*",'普船玩具专线'!$A$5:$D$10,3,0)),IF(AND($G$4="卡派",$F$4="KG",$C$4="义乌仓",$D$4="亚马逊"),CONCATENATE("8KG+："&amp;VLOOKUP("*"&amp;$E$4&amp;"*",'普船玩具专线'!$A$5:$D$10,2,0),"                            101KG+："&amp;VLOOKUP("*"&amp;$E$4&amp;"*",'普船玩具专线'!$A$5:$D$10,3,0)),"-")))),"-")</f>
      </c>
      <c r="BN17" s="154">
        <f>IFERROR(IF($E$4="","-",IF(AND($G$4="卡派",$F$4="KG",$C$4="珠三角",$D$4="亚马逊"),VLOOKUP("*"&amp;$E$4&amp;"*",'普船玩具专线'!$A$5:$D$10,4,0),IF(AND($G$4="卡派",$F$4="KG",$C$4="汕头仓",$D$4="亚马逊"),VLOOKUP("*"&amp;$E$4&amp;"*",'普船玩具专线'!$A$5:$D$10,4,0),IF(AND($G$4="卡派",$F$4="KG",$C$4="义乌仓",$D$4="亚马逊"),VLOOKUP("*"&amp;$E$4&amp;"*",'普船玩具专线'!$A$5:$D$10,4,0),"-")))),"-")</f>
      </c>
      <c r="BO17" s="153">
        <f>CONCATENATE("①",'海运船期表'!$B$10,"-"&amp;'海运船期表'!$C$10," : ",TEXT('海运船期表'!$I$10,"MM-DD"),"                                                      ②",'海运船期表'!$B$11,"-"&amp;'海运船期表'!$C$11," : ",TEXT('海运船期表'!$I$11,"MM-DD"))</f>
      </c>
      <c r="BP17" s="153">
        <f>CONCATENATE("①",'海运船期表'!$B$10,"-"&amp;'海运船期表'!$C$10," : ",TEXT('海运船期表'!$J$7,"MM-DD"),"                                                   ②",'海运船期表'!$B$11,"-"&amp;'海运船期表'!$C$11," : ",TEXT('海运船期表'!$J$11,"MM-DD"))</f>
      </c>
      <c r="BQ17" s="106">
        <f>CONCATENATE("①："&amp;'海运船期表'!$K$10,"                                ②："&amp;'海运船期表'!$K$11)</f>
      </c>
    </row>
    <row customHeight="true" ht="51" r="18">
      <c r="B18" s="155" t="str">
        <v>奥克兰744-玩具专线</v>
      </c>
      <c r="C18" s="106">
        <f>BM18</f>
      </c>
      <c r="D18" s="106">
        <f>BN18</f>
      </c>
      <c r="E18" s="153">
        <f>BO18</f>
      </c>
      <c r="F18" s="106">
        <f>BP18</f>
      </c>
      <c r="G18" s="106">
        <f>BQ18</f>
      </c>
      <c r="BL18" s="152" t="str">
        <v>奥克兰744</v>
      </c>
      <c r="BM18" s="126">
        <f>IFERROR(IF($E$4="","-",IF(AND($G$4="卡派",$F$4="KG",$C$4="珠三角",$D$4="亚马逊"),CONCATENATE("8KG+："&amp;VLOOKUP("*"&amp;$E$4&amp;"*",'普船玩具专线'!$A$15:$D$17,2,0),"                            101KG+："&amp;VLOOKUP("*"&amp;$E$4&amp;"*",'普船玩具专线'!$A$15:$D$17,3,0)),IF(AND($G$4="卡派",$F$4="KG",$C$4="汕头仓",$D$4="亚马逊"),CONCATENATE("8KG+："&amp;VLOOKUP("*"&amp;$E$4&amp;"*",'普船玩具专线'!$A$15:$D$17,2,0),"                            101KG+："&amp;VLOOKUP("*"&amp;$E$4&amp;"*",'普船玩具专线'!$A$15:$D$17,3,0)),IF(AND($G$4="卡派",$F$4="KG",$C$4="义乌仓",$D$4="亚马逊"),CONCATENATE("8KG+："&amp;VLOOKUP("*"&amp;$E$4&amp;"*",'普船玩具专线'!$A$15:$D$17,2,0),"                            101KG+："&amp;VLOOKUP("*"&amp;$E$4&amp;"*",'普船玩具专线'!$A$15:$D$17,3,0)),"-")))),"-")</f>
      </c>
      <c r="BN18" s="154">
        <f>IFERROR(IF($E$4="","-",IF(AND($G$4="卡派",$F$4="KG",$C$4="珠三角",$D$4="亚马逊"),VLOOKUP("*"&amp;$E$4&amp;"*",'普船玩具专线'!$A$15:$D$17,4,0),IF(AND($G$4="卡派",$F$4="KG",$C$4="汕头仓",$D$4="亚马逊"),VLOOKUP("*"&amp;$E$4&amp;"*",'普船玩具专线'!$A$15:$D$17,4,0),IF(AND($G$4="卡派",$F$4="KG",$C$4="义乌仓",$D$4="亚马逊"),VLOOKUP("*"&amp;$E$4&amp;"*",'普船玩具专线'!$A$15:$D$17,4,0),"-")))),"-")</f>
      </c>
      <c r="BO18" s="153">
        <f>CONCATENATE("①",'海运船期表'!$B$12,"-"&amp;'海运船期表'!$C$12," : ",TEXT('海运船期表'!$I$12,"MM-DD"),"                                                          ②",'海运船期表'!$B$13,"-"&amp;'海运船期表'!$C$13," : ",TEXT('海运船期表'!$I$13,"MM-DD"))</f>
      </c>
      <c r="BP18" s="153">
        <f>CONCATENATE("①",'海运船期表'!$B$12,"-"&amp;'海运船期表'!$C$12," : ",TEXT('海运船期表'!$J$12,"MM-DD"),"                                            ②",'海运船期表'!$B$13,"-"&amp;'海运船期表'!$C$13," : ",TEXT('海运船期表'!$J$13,"MM-DD"))</f>
      </c>
      <c r="BQ18" s="106">
        <f>CONCATENATE("①："&amp;'海运船期表'!$K$12,"                              ②："&amp;'海运船期表'!$K$13)</f>
      </c>
    </row>
    <row customHeight="true" ht="55" r="19">
      <c r="B19" s="152" t="str">
        <v>芝加哥840-玩具专线</v>
      </c>
      <c r="C19" s="126">
        <f>BM19</f>
      </c>
      <c r="D19" s="154">
        <f>BN19</f>
      </c>
      <c r="E19" s="154">
        <f>BO19</f>
      </c>
      <c r="F19" s="154">
        <f>BP19</f>
      </c>
      <c r="G19" s="154">
        <f>BQ19</f>
      </c>
      <c r="BL19" s="106" t="str">
        <v>芝加哥840</v>
      </c>
      <c r="BM19" s="106">
        <f>IFERROR(IF($E$4="","-",IF(AND($G$4="卡派",$F$4="KG",$C$4="珠三角",$D$4="亚马逊"),CONCATENATE("8KG+："&amp;VLOOKUP("*"&amp;$E$4&amp;"*",'普船玩具专线'!$A$22:$D$25,2,0),"                            101KG+："&amp;VLOOKUP("*"&amp;$E$4&amp;"*",'普船玩具专线'!$A$22:$D$25,3,0)),IF(AND($G$4="卡派",$F$4="KG",$C$4="汕头仓",$D$4="亚马逊"),CONCATENATE("8KG+："&amp;VLOOKUP("*"&amp;$E$4&amp;"*",'普船玩具专线'!$A$22:$D$25,2,0),"                            101KG+："&amp;VLOOKUP("*"&amp;$E$4&amp;"*",'普船玩具专线'!$A$22:$D$25,3,0)),IF(AND($G$4="卡派",$F$4="KG",$C$4="义乌仓",$D$4="亚马逊"),CONCATENATE("8KG+："&amp;VLOOKUP("*"&amp;$E$4&amp;"*",'普船玩具专线'!$A$22:$D$25,2,0),"                            101KG+："&amp;VLOOKUP("*"&amp;$E$4&amp;"*",'普船玩具专线'!$A$22:$D$25,3,0)),"-")))),"-")</f>
      </c>
      <c r="BN19" s="106">
        <f>IFERROR(IF($E$4="","-",IF(AND($G$4="卡派",$F$4="KG",$C$4="珠三角",$D$4="亚马逊"),VLOOKUP("*"&amp;$E$4&amp;"*",'普船玩具专线'!$A$22:$D$25,4,0),IF(AND($G$4="卡派",$F$4="KG",$C$4="汕头仓",$D$4="亚马逊"),VLOOKUP("*"&amp;$E$4&amp;"*",'普船玩具专线'!$A$22:$D$25,4,0),IF(AND($G$4="卡派",$F$4="KG",$C$4="义乌仓",$D$4="亚马逊"),VLOOKUP("*"&amp;$E$4&amp;"*",'普船玩具专线'!$A$22:$D$25,4,0),"-")))),"-")</f>
      </c>
      <c r="BO19" s="153">
        <f>CONCATENATE("①",'海运船期表'!$B$19,"-"&amp;'海运船期表'!$C$19," : ",TEXT('海运船期表'!$I$19,"MM-DD"),"                                             ②",'海运船期表'!$B$20,"-"&amp;'海运船期表'!$C$20," : ",TEXT('海运船期表'!$I$20,"MM-DD"))</f>
      </c>
      <c r="BP19" s="153">
        <f>CONCATENATE("①",'海运船期表'!$B$19,"-"&amp;'海运船期表'!$C$19," : ",TEXT('海运船期表'!$J$19,"MM-DD"),"                                         ②",'海运船期表'!$B$20,"-"&amp;'海运船期表'!$C$20," : ",TEXT('海运船期表'!$J$20,"MM-DD"))</f>
      </c>
      <c r="BQ19" s="106">
        <f>CONCATENATE("①："&amp;'海运船期表'!$K$19,"                              ②："&amp;'海运船期表'!$K$20)</f>
      </c>
    </row>
    <row customHeight="true" ht="48" r="20">
      <c r="B20" s="155" t="str">
        <v>休斯顿866-玩具专线</v>
      </c>
      <c r="C20" s="106">
        <f>BM20</f>
      </c>
      <c r="D20" s="106">
        <f>BN20</f>
      </c>
      <c r="E20" s="153">
        <f>BO20</f>
      </c>
      <c r="F20" s="106">
        <f>BP20</f>
      </c>
      <c r="G20" s="106">
        <f>BQ20</f>
      </c>
      <c r="BL20" s="152" t="str">
        <v>休斯顿866</v>
      </c>
      <c r="BM20" s="126">
        <f>IFERROR(IF($E$4="","-",IF(AND($G$4="卡派",$F$4="KG",$C$4="珠三角",$D$4="亚马逊"),CONCATENATE("8KG+："&amp;VLOOKUP("*"&amp;$E$4&amp;"*",'普船玩具专线'!$A$30:$D$32,2,0),"                            101KG+："&amp;VLOOKUP("*"&amp;$E$4&amp;"*",'普船玩具专线'!$A$30:$D$32,3,0)),IF(AND($G$4="卡派",$F$4="KG",$C$4="汕头仓",$D$4="亚马逊"),CONCATENATE("8KG+："&amp;VLOOKUP("*"&amp;$E$4&amp;"*",'普船玩具专线'!$A$30:$D$32,2,0),"                            101KG+："&amp;VLOOKUP("*"&amp;$E$4&amp;"*",'普船玩具专线'!$A$30:$D$32,3,0)),IF(AND($G$4="卡派",$F$4="KG",$C$4="义乌仓",$D$4="亚马逊"),CONCATENATE("8KG+："&amp;VLOOKUP("*"&amp;$E$4&amp;"*",'普船玩具专线'!$A$30:$D$32,2,0),"                            101KG+："&amp;VLOOKUP("*"&amp;$E$4&amp;"*",'普船玩具专线'!$A$30:$D$32,3,0)),"-")))),"-")</f>
      </c>
      <c r="BN20" s="154">
        <f>IFERROR(IF($E$4="","-",IF(AND($G$4="卡派",$F$4="KG",$C$4="珠三角",$D$4="亚马逊"),VLOOKUP("*"&amp;$E$4&amp;"*",'普船玩具专线'!$A$31:$D$33,4,0),IF(AND($G$4="卡派",$F$4="KG",$C$4="汕头仓",$D$4="亚马逊"),VLOOKUP("*"&amp;$E$4&amp;"*",'普船玩具专线'!$A$31:$D$33,4,0),IF(AND($G$4="卡派",$F$4="KG",$C$4="义乌仓",$D$4="亚马逊"),VLOOKUP("*"&amp;$E$4&amp;"*",'普船玩具专线'!$A$31:$D$33,4,0),"-")))),"-")</f>
      </c>
      <c r="BO20" s="153">
        <f>CONCATENATE("①",'海运船期表'!$B$21,"-"&amp;'海运船期表'!$C$21," : ",TEXT('海运船期表'!$I$21,"MM-DD"),"                                     ②",'海运船期表'!$B$22,"-"&amp;'海运船期表'!$C$22," : ",TEXT('海运船期表'!$I$22,"MM-DD"))</f>
      </c>
      <c r="BP20" s="153">
        <f>CONCATENATE("①",'海运船期表'!$B$21,"-"&amp;'海运船期表'!$C$21," : ",TEXT('海运船期表'!$J$21,"MM-DD"),"                                         ②",'海运船期表'!$B$22,"-"&amp;'海运船期表'!$C$22," : ",TEXT('海运船期表'!$J$22,"MM-DD"))</f>
      </c>
      <c r="BQ20" s="106">
        <f>CONCATENATE("①："&amp;'海运船期表'!$K$21,"                              ②："&amp;'海运船期表'!$K$22)</f>
      </c>
    </row>
    <row customHeight="true" ht="51" r="21">
      <c r="B21" s="152" t="str">
        <v>萨凡纳888-玩具专线</v>
      </c>
      <c r="C21" s="126">
        <f>BM21</f>
      </c>
      <c r="D21" s="154">
        <f>BN21</f>
      </c>
      <c r="E21" s="154">
        <f>BO21</f>
      </c>
      <c r="F21" s="154">
        <f>BP21</f>
      </c>
      <c r="G21" s="154">
        <f>BQ21</f>
      </c>
      <c r="BL21" s="106" t="str">
        <v>萨凡纳888</v>
      </c>
      <c r="BM21" s="106">
        <f>IFERROR(IF($E$4="","-",IF(AND($G$4="卡派",$F$4="KG",$C$4="珠三角",$D$4="亚马逊"),CONCATENATE("8KG+："&amp;VLOOKUP("*"&amp;$E$4&amp;"*",'普船玩具专线'!$A$37:$D$39,2,0),"                            101KG+："&amp;VLOOKUP("*"&amp;$E$4&amp;"*",'普船玩具专线'!$A$37:$D$39,3,0)),IF(AND($G$4="卡派",$F$4="KG",$C$4="汕头仓",$D$4="亚马逊"),CONCATENATE("8KG+："&amp;VLOOKUP("*"&amp;$E$4&amp;"*",'普船玩具专线'!$A$37:$D$39,2,0),"                            101KG+："&amp;VLOOKUP("*"&amp;$E$4&amp;"*",'普船玩具专线'!$A$37:$D$39,3,0)),IF(AND($G$4="卡派",$F$4="KG",$C$4="义乌仓",$D$4="亚马逊"),CONCATENATE("8KG+："&amp;VLOOKUP("*"&amp;$E$4&amp;"*",'普船玩具专线'!$A$37:$D$39,2,0),"                            101KG+："&amp;VLOOKUP("*"&amp;$E$4&amp;"*",'普船玩具专线'!$A$37:$D$39,3,0)),"-")))),"-")</f>
      </c>
      <c r="BN21" s="106">
        <f>IFERROR(IF($E$4="","-",IF(AND($G$4="卡派",$F$4="KG",$C$4="珠三角",$D$4="亚马逊"),VLOOKUP("*"&amp;$E$4&amp;"*",'普船玩具专线'!$A$37:$D$39,4,0),IF(AND($G$4="卡派",$F$4="KG",$C$4="汕头仓",$D$4="亚马逊"),VLOOKUP("*"&amp;$E$4&amp;"*",'普船玩具专线'!$A$37:$D$39,4,0),IF(AND($G$4="卡派",$F$4="KG",$C$4="义乌仓",$D$4="亚马逊"),VLOOKUP("*"&amp;$E$4&amp;"*",'普船玩具专线'!$A$37:$D$39,4,0),"-")))),"-")</f>
      </c>
      <c r="BO21" s="153">
        <f>CONCATENATE("①",'海运船期表'!$B$23,"-"&amp;'海运船期表'!$C$23," : ",TEXT('海运船期表'!$I$23,"MM-DD"),"                             ②",'海运船期表'!$B$24,"-"&amp;'海运船期表'!$C$24," : ",TEXT('海运船期表'!$I$24,"MM-DD"))</f>
      </c>
      <c r="BP21" s="153">
        <f>CONCATENATE("①",'海运船期表'!$B$23,"-"&amp;'海运船期表'!$C$23," : ",TEXT('海运船期表'!$J$23,"MM-DD"),"                                         ②",'海运船期表'!$B$24,"-"&amp;'海运船期表'!$C$24," : ",TEXT('海运船期表'!$J$24,"MM-DD"))</f>
      </c>
      <c r="BQ21" s="106">
        <f>CONCATENATE("①："&amp;'海运船期表'!$K$23,"                              ②："&amp;'海运船期表'!$K$24)</f>
      </c>
    </row>
    <row customHeight="true" ht="57" r="22">
      <c r="B22" s="155" t="str">
        <v>纽约960-玩具专线</v>
      </c>
      <c r="C22" s="106">
        <f>BM22</f>
      </c>
      <c r="D22" s="106">
        <f>BN22</f>
      </c>
      <c r="E22" s="153">
        <f>BO22</f>
      </c>
      <c r="F22" s="106">
        <f>BP22</f>
      </c>
      <c r="G22" s="106">
        <f>BQ22</f>
      </c>
      <c r="BL22" s="152" t="str">
        <v>纽约960</v>
      </c>
      <c r="BM22" s="126">
        <f>IFERROR(IF($E$4="","-",IF(AND($G$4="卡派",$F$4="KG",$C$4="珠三角",$D$4="亚马逊"),CONCATENATE("8KG+："&amp;VLOOKUP("*"&amp;$E$4&amp;"*",'普船玩具专线'!$A$44:$D$49,2,0),"                            101KG+："&amp;VLOOKUP("*"&amp;$E$4&amp;"*",'普船玩具专线'!$A$44:$D$49,3,0)),IF(AND($G$4="卡派",$F$4="KG",$C$4="汕头仓",$D$4="亚马逊"),CONCATENATE("8KG+："&amp;VLOOKUP("*"&amp;$E$4&amp;"*",'普船玩具专线'!$A$44:$D$49,2,0),"                            101KG+："&amp;VLOOKUP("*"&amp;$E$4&amp;"*",'普船玩具专线'!$A$44:$D$49,3,0)),IF(AND($G$4="卡派",$F$4="KG",$C$4="义乌仓",$D$4="亚马逊"),CONCATENATE("8KG+："&amp;VLOOKUP("*"&amp;$E$4&amp;"*",'普船玩具专线'!$A$44:$D$49,3,0),"                            101KG+："&amp;VLOOKUP("*"&amp;$E$4&amp;"*",'普船玩具专线'!$A$44:$D$49,3,0)),IF(AND($G$4="快递派",$F$4="KG",$C$4="珠三角",$D$4="亚马逊"),CONCATENATE("12KG+："&amp;VLOOKUP("*"&amp;$E$4&amp;"*",'海运快递派'!$A$37:$F$38,3,0),"                            51KG+："&amp;VLOOKUP("*"&amp;$E$4&amp;"*",'海运快递派'!$A$37:$F$38,4,0),"                            101KG+："&amp;VLOOKUP("*"&amp;$E$4&amp;"*",'海运快递派'!$A$37:$F$38,5,0)),IF(AND($G$4="快递派",$F$4="KG",$C$4="汕头仓",$D$4="亚马逊"),CONCATENATE("12KG+："&amp;VLOOKUP("*"&amp;$E$4&amp;"*",'海运快递派'!$A$37:$F$38,3,0),"                            51KG+："&amp;VLOOKUP("*"&amp;$E$4&amp;"*",'海运快递派'!$A$37:$F$38,4,0),"                            101KG+："&amp;VLOOKUP("*"&amp;$E$4&amp;"*",'海运快递派'!$A$37:$F$38,5,0)),IF(AND($G$4="快递派",$F$4="KG",$C$4="义乌仓",$D$4="亚马逊"),CONCATENATE("12KG+："&amp;VLOOKUP("*"&amp;$E$4&amp;"*",'海运快递派'!$A$37:$F$38,3,0),"                            51KG+："&amp;VLOOKUP("*"&amp;$E$4&amp;"*",'海运快递派'!$A$37:$F$38,4,0),"                            101KG+："&amp;VLOOKUP("*"&amp;$E$4&amp;"*",'海运快递派'!$A$37:$F$38,5,0)),"-"))))))),"-")</f>
      </c>
      <c r="BN22" s="154">
        <f>IFERROR(IF($E$4="","-",IF(AND($G$4="卡派",$F$4="KG",$C$4="珠三角",$D$4="亚马逊"),VLOOKUP("*"&amp;$E$4&amp;"*",'普船玩具专线'!$A$44:$D$49,4,0),IF(AND($G$4="卡派",$F$4="KG",$C$4="汕头仓",$D$4="亚马逊"),VLOOKUP("*"&amp;$E$4&amp;"*",'普船玩具专线'!$A$44:$D$49,4,0),IF(AND($G$4="卡派",$F$4="KG",$C$4="义乌仓",$D$4="亚马逊"),VLOOKUP("*"&amp;$E$4&amp;"*",'普船玩具专线'!$A$44:$D$49,4,0),IF(AND($G$4="快递派",$F$4="KG",$C$4="珠三角",$D$4="亚马逊"),VLOOKUP("*"&amp;$E$4&amp;"*",'海运快递派'!$A$37:$F$38,6,0),IF(AND($G$4="快递派",$F$4="KG",$C$4="汕头仓",$D$4="亚马逊"),VLOOKUP("*"&amp;$E$4&amp;"*",'海运快递派'!$A$37:$F$38,6,0),IF(AND($G$4="快递派",$F$4="KG",$C$4="义乌仓",$D$4="亚马逊"),VLOOKUP("*"&amp;$E$4&amp;"*",'海运快递派'!$A$37:$F$38,6,0),"-"))))))),"-")</f>
      </c>
      <c r="BO22" s="153">
        <f>CONCATENATE("①",'海运船期表'!$B$25,"-"&amp;'海运船期表'!$C$25," : ",TEXT('海运船期表'!$I$25,"MM-DD"),"                      ②",'海运船期表'!$B$26,"-"&amp;'海运船期表'!$C$26," : ",TEXT('海运船期表'!$I$26,"MM-DD"))</f>
      </c>
      <c r="BP22" s="153">
        <f>CONCATENATE("①",'海运船期表'!$B$25,"-"&amp;'海运船期表'!$C$25," : ",TEXT('海运船期表'!$J$25,"MM-DD"),"                                         ②",'海运船期表'!$B$26,"-"&amp;'海运船期表'!$C$26," : ",TEXT('海运船期表'!$J$26,"MM-DD"))</f>
      </c>
      <c r="BQ22" s="106">
        <f>CONCATENATE("①："&amp;'海运船期表'!$K$25,"                              ②："&amp;'海运船期表'!$K$26)</f>
      </c>
    </row>
  </sheetData>
  <mergeCells>
    <mergeCell ref="B2:G2"/>
    <mergeCell ref="BM3:BN3"/>
    <mergeCell ref="B3:B4"/>
    <mergeCell ref="I3:I4"/>
    <mergeCell ref="I8:P12"/>
  </mergeCells>
  <dataValidations count="4">
    <dataValidation allowBlank="true" errorStyle="stop" showErrorMessage="true" sqref="G4" type="list">
      <formula1>"卡派,快递派"</formula1>
    </dataValidation>
    <dataValidation allowBlank="true" errorStyle="stop" showErrorMessage="true" sqref="C4" type="list">
      <formula1>"珠三角,汕头仓,义乌仓"</formula1>
    </dataValidation>
    <dataValidation allowBlank="true" errorStyle="stop" showErrorMessage="true" sqref="D4" type="list">
      <formula1>"亚马逊,沃尔玛专线"</formula1>
    </dataValidation>
    <dataValidation allowBlank="true" errorStyle="stop" showErrorMessage="true" sqref="F4" type="list">
      <formula1>"KG,按方不包税"</formula1>
    </dataValidation>
  </dataValidations>
  <drawing r:id="rId1"/>
  <picture r:id="rId2"/>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ED7D31"/>
    <outlinePr summaryBelow="false" summaryRight="false"/>
  </sheetPr>
  <dimension ref="A1"/>
  <sheetViews>
    <sheetView showGridLines="true" workbookViewId="0"/>
  </sheetViews>
  <sheetFormatPr defaultColWidth="14" defaultRowHeight="19"/>
  <cols>
    <col collapsed="false" customWidth="true" hidden="false" max="1" min="1" style="0" width="31"/>
    <col collapsed="false" customWidth="true" hidden="false" max="2" min="2" style="0" width="14"/>
    <col collapsed="false" customWidth="true" hidden="false" max="3" min="3" style="0" width="14"/>
    <col collapsed="false" customWidth="true" hidden="false" max="4" min="4" style="0" width="14"/>
    <col collapsed="false" customWidth="true" hidden="false" max="5" min="5" style="0" width="14"/>
    <col collapsed="false" customWidth="true" hidden="false" max="6" min="6" style="0" width="17"/>
    <col collapsed="false" customWidth="true" hidden="false" max="7" min="7" style="0" width="18"/>
    <col collapsed="false" customWidth="true" hidden="false" max="8" min="8" style="0" width="2"/>
    <col collapsed="false" customWidth="true" hidden="false" max="9" min="9" style="0" width="14"/>
    <col collapsed="false" customWidth="true" hidden="false" max="10" min="10" style="0" width="14"/>
    <col collapsed="false" customWidth="true" hidden="false" max="11" min="11" style="0" width="14"/>
    <col collapsed="false" customWidth="true" hidden="false" max="12" min="12" style="0" width="14"/>
    <col collapsed="false" customWidth="true" hidden="false" max="13" min="13" style="0" width="17"/>
    <col collapsed="false" customWidth="true" hidden="false" max="14" min="14" style="0" width="19"/>
    <col collapsed="false" customWidth="true" hidden="false" max="15" min="15" style="0" width="2"/>
    <col collapsed="false" customWidth="true" hidden="false" max="16" min="16" style="0" width="17"/>
    <col collapsed="false" customWidth="true" hidden="false" max="17" min="17" style="0" width="18"/>
    <col collapsed="false" customWidth="true" hidden="false" max="18" min="18" style="0" width="19"/>
    <col collapsed="false" customWidth="true" hidden="false" max="19" min="19" style="0" width="23"/>
    <col collapsed="false" customWidth="true" hidden="false" max="20" min="20" style="0" width="10"/>
    <col collapsed="false" customWidth="true" hidden="false" max="21" min="21" style="0" width="10"/>
    <col collapsed="false" customWidth="true" hidden="false" max="22" min="22" style="0" width="10"/>
  </cols>
  <sheetData>
    <row customHeight="true" ht="120" r="1">
      <c r="A1" s="196"/>
      <c r="B1" s="196"/>
      <c r="C1" s="196"/>
      <c r="D1" s="109"/>
      <c r="E1" s="109"/>
      <c r="F1" s="109"/>
      <c r="G1" s="109"/>
      <c r="H1" s="109"/>
      <c r="I1" s="196"/>
      <c r="J1" s="196"/>
      <c r="K1" s="109"/>
      <c r="L1" s="109"/>
      <c r="M1" s="109"/>
      <c r="N1" s="109"/>
      <c r="O1" s="92"/>
    </row>
    <row customHeight="true" ht="40" r="2">
      <c r="A2" s="65" t="str">
        <v>美森360</v>
      </c>
      <c r="B2" s="66"/>
      <c r="C2" s="66"/>
      <c r="D2" s="66"/>
      <c r="E2" s="66"/>
      <c r="F2" s="66"/>
      <c r="G2" s="67"/>
      <c r="H2" s="92"/>
      <c r="I2" s="135" t="str">
        <v>美森432</v>
      </c>
      <c r="J2" s="135"/>
      <c r="K2" s="135"/>
      <c r="L2" s="135"/>
      <c r="M2" s="135"/>
      <c r="N2" s="135"/>
      <c r="O2" s="92"/>
      <c r="P2" s="66" t="str">
        <v>EX456</v>
      </c>
      <c r="Q2" s="66"/>
      <c r="R2" s="66"/>
      <c r="S2" s="67"/>
    </row>
    <row customHeight="true" ht="32" r="3">
      <c r="A3" s="210" t="str">
        <v>热门卡派仓</v>
      </c>
      <c r="B3" s="207"/>
      <c r="C3" s="207"/>
      <c r="D3" s="207"/>
      <c r="E3" s="207"/>
      <c r="F3" s="207"/>
      <c r="G3" s="209"/>
      <c r="H3" s="92"/>
      <c r="I3" s="208" t="str">
        <v>热门卡派仓</v>
      </c>
      <c r="J3" s="208"/>
      <c r="K3" s="208"/>
      <c r="L3" s="208"/>
      <c r="M3" s="208"/>
      <c r="N3" s="208"/>
      <c r="O3" s="92"/>
      <c r="P3" s="207" t="str">
        <v>热门卡派仓</v>
      </c>
      <c r="Q3" s="207"/>
      <c r="R3" s="207"/>
      <c r="S3" s="209"/>
    </row>
    <row customHeight="true" ht="40" r="4">
      <c r="A4" s="119"/>
      <c r="B4" s="118" t="str">
        <v>珠三角/汕头交货价</v>
      </c>
      <c r="C4" s="120"/>
      <c r="D4" s="118" t="str">
        <v>义乌交货价</v>
      </c>
      <c r="E4" s="120"/>
      <c r="F4" s="117"/>
      <c r="G4" s="120"/>
      <c r="H4" s="92"/>
      <c r="I4" s="119" t="str">
        <v>珠三角/汕头交货价</v>
      </c>
      <c r="J4" s="119"/>
      <c r="K4" s="119" t="str">
        <v>义乌交货价</v>
      </c>
      <c r="L4" s="119"/>
      <c r="M4" s="117"/>
      <c r="N4" s="120"/>
      <c r="O4" s="92"/>
      <c r="P4" s="200" t="str">
        <v>珠三角/汕头/义乌交货价</v>
      </c>
      <c r="Q4" s="201"/>
      <c r="R4" s="117"/>
      <c r="S4" s="120"/>
    </row>
    <row customHeight="true" ht="61" r="5">
      <c r="A5" s="192" t="s">
        <v>9</v>
      </c>
      <c r="B5" s="102" t="str">
        <v>8KG+</v>
      </c>
      <c r="C5" s="102" t="str">
        <v>101KG+</v>
      </c>
      <c r="D5" s="102" t="str">
        <v>8KG+</v>
      </c>
      <c r="E5" s="102" t="str">
        <v>101KG+</v>
      </c>
      <c r="F5" s="126" t="str">
        <v>参考签收时效
（开船后）</v>
      </c>
      <c r="G5" s="126" t="str">
        <v>理赔时效
（开船后第二天算起）</v>
      </c>
      <c r="H5" s="92"/>
      <c r="I5" s="102" t="str">
        <v>8KG+</v>
      </c>
      <c r="J5" s="102" t="str">
        <v>101KG+</v>
      </c>
      <c r="K5" s="102" t="str">
        <v>8KG+</v>
      </c>
      <c r="L5" s="102" t="str">
        <v>101KG+</v>
      </c>
      <c r="M5" s="126" t="str">
        <v>签收时效
（开船后）</v>
      </c>
      <c r="N5" s="126" t="str">
        <v>理赔时效
（开船后第二天算起）</v>
      </c>
      <c r="O5" s="92"/>
      <c r="P5" s="102" t="str">
        <v>8KG+</v>
      </c>
      <c r="Q5" s="102" t="str">
        <v>101KG+</v>
      </c>
      <c r="R5" s="126" t="str">
        <v>签收时效
（开船后）</v>
      </c>
      <c r="S5" s="126" t="str">
        <v>理赔时效
（开船后第二天算起）</v>
      </c>
    </row>
    <row customHeight="true" ht="33" r="6">
      <c r="A6" s="106" t="str">
        <v>ONT8,LAX9,LGB8</v>
      </c>
      <c r="B6" s="24">
        <v>10.5</v>
      </c>
      <c r="C6" s="24">
        <v>10</v>
      </c>
      <c r="D6" s="24">
        <v>10.2</v>
      </c>
      <c r="E6" s="24">
        <v>9.7</v>
      </c>
      <c r="F6" s="24" t="str">
        <v>12-16个自然日</v>
      </c>
      <c r="G6" s="24" t="str">
        <v>13个工作日</v>
      </c>
      <c r="H6" s="92"/>
      <c r="I6" s="24">
        <v>10.2</v>
      </c>
      <c r="J6" s="24">
        <v>9.7</v>
      </c>
      <c r="K6" s="24">
        <v>9.9</v>
      </c>
      <c r="L6" s="24">
        <v>9.4</v>
      </c>
      <c r="M6" s="24" t="str">
        <v>14-18个自然日</v>
      </c>
      <c r="N6" s="24" t="str">
        <v>15个工作日</v>
      </c>
      <c r="O6" s="92"/>
      <c r="P6" s="24">
        <v>6.1</v>
      </c>
      <c r="Q6" s="24">
        <v>5.6</v>
      </c>
      <c r="R6" s="24" t="str">
        <v>16-20个自然日</v>
      </c>
      <c r="S6" s="24" t="str">
        <v>18个工作日</v>
      </c>
    </row>
    <row customHeight="true" ht="36" r="7">
      <c r="A7" s="188" t="str">
        <v>SBD1,POC1,POC3</v>
      </c>
      <c r="B7" s="187">
        <v>10.8</v>
      </c>
      <c r="C7" s="187">
        <v>10.3</v>
      </c>
      <c r="D7" s="187">
        <v>10.5</v>
      </c>
      <c r="E7" s="187">
        <v>10</v>
      </c>
      <c r="F7" s="187" t="str">
        <v>12-16个自然日</v>
      </c>
      <c r="G7" s="187" t="str">
        <v>14个工作日</v>
      </c>
      <c r="H7" s="92"/>
      <c r="I7" s="187">
        <v>10.5</v>
      </c>
      <c r="J7" s="187">
        <v>10</v>
      </c>
      <c r="K7" s="187">
        <v>10.2</v>
      </c>
      <c r="L7" s="187">
        <v>9.7</v>
      </c>
      <c r="M7" s="187" t="str">
        <v>14-18个自然日</v>
      </c>
      <c r="N7" s="187" t="str">
        <v>16个工作日</v>
      </c>
      <c r="O7" s="92"/>
      <c r="P7" s="187">
        <v>6.4</v>
      </c>
      <c r="Q7" s="187">
        <v>5.9</v>
      </c>
      <c r="R7" s="187" t="str">
        <v>16-20个自然日</v>
      </c>
      <c r="S7" s="187" t="str">
        <v>19个工作日</v>
      </c>
    </row>
    <row customHeight="true" ht="47" r="8">
      <c r="A8" s="106" t="str">
        <v>GYR3,GYR2,LAS1,VGT2,SMF3,SCK4</v>
      </c>
      <c r="B8" s="24">
        <v>11.3</v>
      </c>
      <c r="C8" s="24">
        <v>10.8</v>
      </c>
      <c r="D8" s="24">
        <v>11</v>
      </c>
      <c r="E8" s="24">
        <v>10.5</v>
      </c>
      <c r="F8" s="24" t="str">
        <v>13-17个自然日</v>
      </c>
      <c r="G8" s="24" t="str">
        <v>15个工作日</v>
      </c>
      <c r="H8" s="92"/>
      <c r="I8" s="24">
        <v>11</v>
      </c>
      <c r="J8" s="24">
        <v>10.5</v>
      </c>
      <c r="K8" s="24">
        <v>10.7</v>
      </c>
      <c r="L8" s="24">
        <v>10.2</v>
      </c>
      <c r="M8" s="24" t="str">
        <v>15-19个自然日</v>
      </c>
      <c r="N8" s="24" t="str">
        <v>17个工作日</v>
      </c>
      <c r="O8" s="92"/>
      <c r="P8" s="24">
        <v>6.9</v>
      </c>
      <c r="Q8" s="24">
        <v>6.4</v>
      </c>
      <c r="R8" s="24" t="str">
        <v>17-21个自然日</v>
      </c>
      <c r="S8" s="24" t="str">
        <v>20个工作日</v>
      </c>
    </row>
    <row customHeight="true" ht="48" r="9">
      <c r="A9" s="188" t="str">
        <v>MIT2,GEU3,GEU5,GEU2,HLI2,TCY1,TCY2</v>
      </c>
      <c r="B9" s="187">
        <v>11.3</v>
      </c>
      <c r="C9" s="187">
        <v>10.8</v>
      </c>
      <c r="D9" s="187">
        <v>11</v>
      </c>
      <c r="E9" s="187">
        <v>10.5</v>
      </c>
      <c r="F9" s="187" t="str">
        <v>13-17个自然日</v>
      </c>
      <c r="G9" s="187" t="str">
        <v>17个工作日</v>
      </c>
      <c r="H9" s="92"/>
      <c r="I9" s="187">
        <v>11</v>
      </c>
      <c r="J9" s="187">
        <v>10.5</v>
      </c>
      <c r="K9" s="187">
        <v>10.7</v>
      </c>
      <c r="L9" s="187">
        <v>10.2</v>
      </c>
      <c r="M9" s="187" t="str">
        <v>15-19个自然日</v>
      </c>
      <c r="N9" s="187" t="str">
        <v>19个工作日</v>
      </c>
      <c r="O9" s="92"/>
      <c r="P9" s="187">
        <v>6.9</v>
      </c>
      <c r="Q9" s="187">
        <v>6.4</v>
      </c>
      <c r="R9" s="187" t="str">
        <v>17-21个自然日</v>
      </c>
      <c r="S9" s="187" t="str">
        <v>22个工作日</v>
      </c>
    </row>
    <row customHeight="true" ht="40" r="10">
      <c r="A10" s="106" t="str">
        <v>FTW1,ABQ2,IAH3,PSC2</v>
      </c>
      <c r="B10" s="24">
        <v>13.1</v>
      </c>
      <c r="C10" s="24">
        <v>12.6</v>
      </c>
      <c r="D10" s="24">
        <v>12.8</v>
      </c>
      <c r="E10" s="24">
        <v>12.3</v>
      </c>
      <c r="F10" s="24" t="str">
        <v>15-19个自然日</v>
      </c>
      <c r="G10" s="24" t="str">
        <v>18个工作日</v>
      </c>
      <c r="H10" s="92"/>
      <c r="I10" s="24">
        <v>12.8</v>
      </c>
      <c r="J10" s="24">
        <v>12.3</v>
      </c>
      <c r="K10" s="24">
        <v>12.5</v>
      </c>
      <c r="L10" s="24">
        <v>12</v>
      </c>
      <c r="M10" s="24" t="str">
        <v>17-21个自然日</v>
      </c>
      <c r="N10" s="24" t="str">
        <v>20个工作日</v>
      </c>
      <c r="O10" s="92"/>
      <c r="P10" s="24">
        <v>8.6</v>
      </c>
      <c r="Q10" s="24">
        <v>8.1</v>
      </c>
      <c r="R10" s="24" t="str">
        <v>20-24个自然日</v>
      </c>
      <c r="S10" s="24" t="str">
        <v>23个工作日</v>
      </c>
    </row>
    <row customHeight="true" ht="43" r="11">
      <c r="A11" s="188" t="str">
        <v>MQJ1,MEM1,FWA4,MDW2,IND9</v>
      </c>
      <c r="B11" s="187">
        <v>13.6</v>
      </c>
      <c r="C11" s="187">
        <v>13.1</v>
      </c>
      <c r="D11" s="187">
        <v>13.3</v>
      </c>
      <c r="E11" s="187">
        <v>12.8</v>
      </c>
      <c r="F11" s="187" t="str">
        <v>16-21个自然日</v>
      </c>
      <c r="G11" s="187" t="str">
        <v>19个工作日</v>
      </c>
      <c r="H11" s="92"/>
      <c r="I11" s="187">
        <v>13.3</v>
      </c>
      <c r="J11" s="187">
        <v>12.8</v>
      </c>
      <c r="K11" s="187">
        <v>13</v>
      </c>
      <c r="L11" s="187">
        <v>12.5</v>
      </c>
      <c r="M11" s="187" t="str">
        <v>18-23个自然日</v>
      </c>
      <c r="N11" s="187" t="str">
        <v>21个工作日</v>
      </c>
      <c r="O11" s="92"/>
      <c r="P11" s="187">
        <v>9.1</v>
      </c>
      <c r="Q11" s="187">
        <v>8.6</v>
      </c>
      <c r="R11" s="187" t="str">
        <v>20-25个自然日</v>
      </c>
      <c r="S11" s="187" t="str">
        <v>24个工作日</v>
      </c>
    </row>
    <row customHeight="true" ht="36" r="12">
      <c r="A12" s="106" t="str">
        <v>CLT2,RDU2</v>
      </c>
      <c r="B12" s="24">
        <v>14.3</v>
      </c>
      <c r="C12" s="24">
        <v>13.8</v>
      </c>
      <c r="D12" s="24">
        <v>14</v>
      </c>
      <c r="E12" s="24">
        <v>13.5</v>
      </c>
      <c r="F12" s="24" t="str">
        <v>21-26个自然日</v>
      </c>
      <c r="G12" s="24" t="str">
        <v>20个工作日</v>
      </c>
      <c r="H12" s="92"/>
      <c r="I12" s="24">
        <v>14</v>
      </c>
      <c r="J12" s="24">
        <v>13.5</v>
      </c>
      <c r="K12" s="24">
        <v>13.7</v>
      </c>
      <c r="L12" s="24">
        <v>13.2</v>
      </c>
      <c r="M12" s="24" t="str">
        <v>23-28个自然日</v>
      </c>
      <c r="N12" s="24" t="str">
        <v>22个工作日</v>
      </c>
      <c r="O12" s="92"/>
      <c r="P12" s="24">
        <v>9.8</v>
      </c>
      <c r="Q12" s="24">
        <v>9.3</v>
      </c>
      <c r="R12" s="24" t="str">
        <v>25-30个自然日</v>
      </c>
      <c r="S12" s="24" t="str">
        <v>25个工作日</v>
      </c>
    </row>
    <row customHeight="true" ht="55" r="13">
      <c r="A13" s="188" t="str">
        <v>ORF2,RMN3,TEB3,TEB9,ABE8,AVP1,AVP3,SWF1,SWF2</v>
      </c>
      <c r="B13" s="187">
        <v>14.8</v>
      </c>
      <c r="C13" s="187">
        <v>14.3</v>
      </c>
      <c r="D13" s="187">
        <v>14.5</v>
      </c>
      <c r="E13" s="187">
        <v>14</v>
      </c>
      <c r="F13" s="187" t="str">
        <v>22-27个自然日</v>
      </c>
      <c r="G13" s="187" t="str">
        <v>22个工作日</v>
      </c>
      <c r="H13" s="92"/>
      <c r="I13" s="187">
        <v>14.5</v>
      </c>
      <c r="J13" s="187">
        <v>14</v>
      </c>
      <c r="K13" s="187">
        <v>14.2</v>
      </c>
      <c r="L13" s="187">
        <v>13.7</v>
      </c>
      <c r="M13" s="187" t="str">
        <v>24-29个自然日</v>
      </c>
      <c r="N13" s="187" t="str">
        <v>24个工作日</v>
      </c>
      <c r="O13" s="92"/>
      <c r="P13" s="187">
        <v>10.3</v>
      </c>
      <c r="Q13" s="187">
        <v>9.8</v>
      </c>
      <c r="R13" s="187" t="str">
        <v>26-31个自然日</v>
      </c>
      <c r="S13" s="187" t="str">
        <v>27个工作日</v>
      </c>
    </row>
    <row customHeight="true" ht="47" r="14">
      <c r="A14" s="106" t="str">
        <v>JOT1,POC2,IUSP,IUSQ,IUTI,IUSJ,IUSW,IUTF</v>
      </c>
      <c r="B14" s="24">
        <v>10.8</v>
      </c>
      <c r="C14" s="24">
        <v>10.3</v>
      </c>
      <c r="D14" s="24">
        <v>10.5</v>
      </c>
      <c r="E14" s="24">
        <v>10</v>
      </c>
      <c r="F14" s="24" t="str">
        <v>13-17个自然日</v>
      </c>
      <c r="G14" s="181" t="str">
        <v>不参与时效延误赔付</v>
      </c>
      <c r="H14" s="92"/>
      <c r="I14" s="24">
        <v>10.5</v>
      </c>
      <c r="J14" s="24">
        <v>10</v>
      </c>
      <c r="K14" s="24">
        <v>10.2</v>
      </c>
      <c r="L14" s="24">
        <v>9.7</v>
      </c>
      <c r="M14" s="24" t="str">
        <v>15-19个自然日</v>
      </c>
      <c r="N14" s="181" t="str">
        <v>不参与时效延误赔付</v>
      </c>
      <c r="O14" s="92"/>
      <c r="P14" s="24">
        <v>6.4</v>
      </c>
      <c r="Q14" s="24">
        <v>5.9</v>
      </c>
      <c r="R14" s="24" t="str">
        <v>17-21个自然日</v>
      </c>
      <c r="S14" s="181" t="str">
        <v>不参与时效延误赔付</v>
      </c>
    </row>
    <row customHeight="true" ht="49" r="15">
      <c r="A15" s="188" t="str">
        <v>SCK8,QXY5,QXY8,IUTE,MCC1,PSP3</v>
      </c>
      <c r="B15" s="187">
        <v>11.3</v>
      </c>
      <c r="C15" s="187">
        <v>10.8</v>
      </c>
      <c r="D15" s="187">
        <v>11</v>
      </c>
      <c r="E15" s="187">
        <v>10.5</v>
      </c>
      <c r="F15" s="187" t="str">
        <v>15-19个自然日</v>
      </c>
      <c r="G15" s="193" t="str">
        <v>不参与时效延误赔付</v>
      </c>
      <c r="H15" s="92"/>
      <c r="I15" s="187">
        <v>11</v>
      </c>
      <c r="J15" s="187">
        <v>10.5</v>
      </c>
      <c r="K15" s="187">
        <v>10.7</v>
      </c>
      <c r="L15" s="187">
        <v>10.2</v>
      </c>
      <c r="M15" s="187" t="str">
        <v>17-21个自然日</v>
      </c>
      <c r="N15" s="193" t="str">
        <v>不参与时效延误赔付</v>
      </c>
      <c r="O15" s="92"/>
      <c r="P15" s="187">
        <v>6.9</v>
      </c>
      <c r="Q15" s="187">
        <v>6.4</v>
      </c>
      <c r="R15" s="187" t="str">
        <v>19-23个自然日</v>
      </c>
      <c r="S15" s="193" t="str">
        <v>不参与时效延误赔付</v>
      </c>
    </row>
    <row customHeight="true" ht="42" r="16">
      <c r="A16" s="106" t="str">
        <v>AMA1,SAT1,SAT4</v>
      </c>
      <c r="B16" s="24">
        <v>13.1</v>
      </c>
      <c r="C16" s="24">
        <v>12.6</v>
      </c>
      <c r="D16" s="24">
        <v>12.8</v>
      </c>
      <c r="E16" s="24">
        <v>12.3</v>
      </c>
      <c r="F16" s="24" t="str">
        <v>16-20个自然日</v>
      </c>
      <c r="G16" s="181" t="str">
        <v>不参与时效延误赔付</v>
      </c>
      <c r="H16" s="92"/>
      <c r="I16" s="24">
        <v>12.8</v>
      </c>
      <c r="J16" s="24">
        <v>12.3</v>
      </c>
      <c r="K16" s="24">
        <v>12.5</v>
      </c>
      <c r="L16" s="24">
        <v>12</v>
      </c>
      <c r="M16" s="24" t="str">
        <v>18-22个自然日</v>
      </c>
      <c r="N16" s="181" t="str">
        <v>不参与时效延误赔付</v>
      </c>
      <c r="O16" s="92"/>
      <c r="P16" s="24">
        <v>8.6</v>
      </c>
      <c r="Q16" s="24">
        <v>8.1</v>
      </c>
      <c r="R16" s="24" t="str">
        <v>20-24个自然日</v>
      </c>
      <c r="S16" s="181" t="str">
        <v>不参与时效延误赔付</v>
      </c>
    </row>
    <row customHeight="true" ht="33" r="17">
      <c r="A17" s="188" t="str">
        <v>RFD2</v>
      </c>
      <c r="B17" s="187">
        <v>13.6</v>
      </c>
      <c r="C17" s="187">
        <v>13.1</v>
      </c>
      <c r="D17" s="187">
        <v>13.3</v>
      </c>
      <c r="E17" s="187">
        <v>12.8</v>
      </c>
      <c r="F17" s="187" t="str">
        <v>17-22个自然日</v>
      </c>
      <c r="G17" s="193" t="str">
        <v>不参与时效延误赔付</v>
      </c>
      <c r="H17" s="92"/>
      <c r="I17" s="187">
        <v>13.3</v>
      </c>
      <c r="J17" s="187">
        <v>12.8</v>
      </c>
      <c r="K17" s="187">
        <v>13</v>
      </c>
      <c r="L17" s="187">
        <v>12.5</v>
      </c>
      <c r="M17" s="187" t="str">
        <v>19-24个自然日</v>
      </c>
      <c r="N17" s="193" t="str">
        <v>不参与时效延误赔付</v>
      </c>
      <c r="O17" s="92"/>
      <c r="P17" s="187">
        <v>9.1</v>
      </c>
      <c r="Q17" s="187">
        <v>8.6</v>
      </c>
      <c r="R17" s="187" t="str">
        <v>21-26个自然日</v>
      </c>
      <c r="S17" s="193" t="str">
        <v>不参与时效延误赔付</v>
      </c>
    </row>
    <row customHeight="true" ht="38" r="18">
      <c r="A18" s="106" t="str">
        <v>TPA2,TPA3</v>
      </c>
      <c r="B18" s="24">
        <v>14.3</v>
      </c>
      <c r="C18" s="24">
        <v>13.8</v>
      </c>
      <c r="D18" s="24">
        <v>14</v>
      </c>
      <c r="E18" s="24">
        <v>13.5</v>
      </c>
      <c r="F18" s="24" t="str">
        <v>22-27个自然日</v>
      </c>
      <c r="G18" s="181" t="str">
        <v>不参与时效延误赔付</v>
      </c>
      <c r="H18" s="92"/>
      <c r="I18" s="24">
        <v>14</v>
      </c>
      <c r="J18" s="24">
        <v>13.5</v>
      </c>
      <c r="K18" s="24">
        <v>13.7</v>
      </c>
      <c r="L18" s="24">
        <v>13.2</v>
      </c>
      <c r="M18" s="24" t="str">
        <v>24-29个自然日</v>
      </c>
      <c r="N18" s="181" t="str">
        <v>不参与时效延误赔付</v>
      </c>
      <c r="O18" s="92"/>
      <c r="P18" s="24">
        <v>9.8</v>
      </c>
      <c r="Q18" s="24">
        <v>9.3</v>
      </c>
      <c r="R18" s="24" t="str">
        <v>26-31个自然日</v>
      </c>
      <c r="S18" s="181" t="str">
        <v>不参与时效延误赔付</v>
      </c>
    </row>
    <row customHeight="true" ht="29" r="19">
      <c r="A19" s="203" t="str">
        <v>其他未开放卡派仓单询</v>
      </c>
      <c r="B19" s="204"/>
      <c r="C19" s="204"/>
      <c r="D19" s="204"/>
      <c r="E19" s="204"/>
      <c r="F19" s="204"/>
      <c r="G19" s="205"/>
      <c r="H19" s="92"/>
      <c r="I19" s="202" t="str">
        <v>其他未开放卡派仓单询</v>
      </c>
      <c r="J19" s="202"/>
      <c r="K19" s="202"/>
      <c r="L19" s="202"/>
      <c r="M19" s="202"/>
      <c r="N19" s="202"/>
      <c r="O19" s="92"/>
      <c r="P19" s="106" t="str">
        <v>其他未开放卡派仓单询</v>
      </c>
      <c r="Q19" s="106"/>
      <c r="R19" s="106"/>
      <c r="S19" s="106"/>
    </row>
    <row customHeight="true" ht="137" r="20">
      <c r="A20" s="198" t="s">
        <v>15</v>
      </c>
      <c r="B20" s="197"/>
      <c r="C20" s="197"/>
      <c r="D20" s="197"/>
      <c r="E20" s="197"/>
      <c r="F20" s="197"/>
      <c r="G20" s="199"/>
      <c r="H20" s="92"/>
      <c r="I20" s="198" t="s">
        <v>14</v>
      </c>
      <c r="J20" s="197"/>
      <c r="K20" s="197"/>
      <c r="L20" s="197"/>
      <c r="M20" s="197"/>
      <c r="N20" s="197"/>
      <c r="O20" s="92"/>
      <c r="P20" s="198" t="s">
        <v>16</v>
      </c>
      <c r="Q20" s="197"/>
      <c r="R20" s="197"/>
      <c r="S20" s="197"/>
    </row>
    <row customHeight="true" ht="67" r="21">
      <c r="A21" s="189" t="str">
        <v>自2025年5月12日起
符合美国清关第232条款的钢铁制品、铝制品关税附加费加收0.5元/KG；</v>
      </c>
      <c r="B21" s="189"/>
      <c r="C21" s="189"/>
      <c r="D21" s="189"/>
      <c r="E21" s="189"/>
      <c r="F21" s="189"/>
      <c r="G21" s="189"/>
      <c r="H21" s="189"/>
      <c r="I21" s="189"/>
      <c r="J21" s="189"/>
      <c r="K21" s="189"/>
      <c r="L21" s="190"/>
      <c r="M21" s="190"/>
      <c r="N21" s="190"/>
      <c r="O21" s="190"/>
      <c r="P21" s="190"/>
      <c r="Q21" s="190"/>
      <c r="R21" s="190"/>
      <c r="S21" s="190"/>
    </row>
    <row customHeight="true" ht="43" r="22">
      <c r="A22" s="185" t="str">
        <v>需加收产品及杂费</v>
      </c>
      <c r="B22" s="182"/>
      <c r="C22" s="182"/>
      <c r="D22" s="182"/>
      <c r="E22" s="182"/>
      <c r="F22" s="182"/>
      <c r="G22" s="182"/>
      <c r="H22" s="182"/>
      <c r="I22" s="183" t="str">
        <v>加收金额</v>
      </c>
      <c r="J22" s="186"/>
      <c r="K22" s="186"/>
      <c r="L22" s="184" t="str">
        <v>备注</v>
      </c>
      <c r="M22" s="184"/>
      <c r="N22" s="184"/>
      <c r="O22" s="184"/>
      <c r="P22" s="184"/>
      <c r="Q22" s="184"/>
      <c r="R22" s="184"/>
      <c r="S22" s="184"/>
    </row>
    <row customHeight="true" ht="36" r="23">
      <c r="A23" s="73" t="str">
        <v>除高价值，高关税产品，其余普通产品无附加费</v>
      </c>
      <c r="B23" s="71"/>
      <c r="C23" s="71"/>
      <c r="D23" s="71"/>
      <c r="E23" s="71"/>
      <c r="F23" s="71"/>
      <c r="G23" s="71"/>
      <c r="H23" s="71"/>
      <c r="I23" s="73" t="str">
        <v>无附加费</v>
      </c>
      <c r="J23" s="71"/>
      <c r="K23" s="71"/>
      <c r="L23" s="72" t="str">
        <v>由于产品本身专利或知识产权问题产生扣关，货物退回等后续问题由客户承担，我司保留追究的权力。</v>
      </c>
      <c r="M23" s="72"/>
      <c r="N23" s="72"/>
      <c r="O23" s="72"/>
      <c r="P23" s="72"/>
      <c r="Q23" s="72"/>
      <c r="R23" s="72"/>
      <c r="S23" s="72"/>
    </row>
    <row customHeight="true" ht="53" r="24">
      <c r="A24" s="73" t="str">
        <v>木制品、蓝牙产品、激光类产品、UL产品</v>
      </c>
      <c r="B24" s="71"/>
      <c r="C24" s="71"/>
      <c r="D24" s="71"/>
      <c r="E24" s="71"/>
      <c r="F24" s="71"/>
      <c r="G24" s="71"/>
      <c r="H24" s="71"/>
      <c r="I24" s="73" t="str">
        <v>+1/KG</v>
      </c>
      <c r="J24" s="71"/>
      <c r="K24" s="71"/>
      <c r="L24" s="72" t="str">
        <v>FDA类产品，海关可能会查验。由于客户提供错误的FDA ID. 产生扣关，关税，货物退回等后续问题由客户承担，我司并保留追究的权力</v>
      </c>
      <c r="M24" s="72"/>
      <c r="N24" s="72"/>
      <c r="O24" s="72"/>
      <c r="P24" s="72"/>
      <c r="Q24" s="72"/>
      <c r="R24" s="72"/>
      <c r="S24" s="72"/>
    </row>
    <row customHeight="true" ht="50" r="25">
      <c r="A25" s="73" t="str">
        <v>化工品（指甲胶、精油、口红、眼影，卸妆水、洗发水等）</v>
      </c>
      <c r="B25" s="71"/>
      <c r="C25" s="71"/>
      <c r="D25" s="71"/>
      <c r="E25" s="71"/>
      <c r="F25" s="71"/>
      <c r="G25" s="71"/>
      <c r="H25" s="71"/>
      <c r="I25" s="73" t="str">
        <v>+2/KG</v>
      </c>
      <c r="J25" s="71"/>
      <c r="K25" s="71"/>
      <c r="L25" s="72" t="str">
        <v>提供真实有效期内商检、MSDS认证视为普货，无需附加费（证书是否有效以相关部门是否认可为准）</v>
      </c>
      <c r="M25" s="72"/>
      <c r="N25" s="72"/>
      <c r="O25" s="72"/>
      <c r="P25" s="72"/>
      <c r="Q25" s="72"/>
      <c r="R25" s="72"/>
      <c r="S25" s="72"/>
    </row>
    <row customHeight="true" ht="45" r="26">
      <c r="A26" s="195" t="str">
        <v>国内贴标费</v>
      </c>
      <c r="B26" s="194"/>
      <c r="C26" s="194"/>
      <c r="D26" s="194"/>
      <c r="E26" s="194"/>
      <c r="F26" s="194"/>
      <c r="G26" s="194"/>
      <c r="H26" s="194"/>
      <c r="I26" s="195" t="str">
        <v>1元/张</v>
      </c>
      <c r="J26" s="194"/>
      <c r="K26" s="194"/>
      <c r="L26" s="72" t="str">
        <v>为了准确快捷入库，请尽量配合贴好入仓标签/FBA标签/SKU标签等，因未贴标签或未及时告知导致仓库未能及时入库延误船期的我司概不负责</v>
      </c>
      <c r="M26" s="72"/>
      <c r="N26" s="72"/>
      <c r="O26" s="72"/>
      <c r="P26" s="72"/>
      <c r="Q26" s="72"/>
      <c r="R26" s="72"/>
      <c r="S26" s="72"/>
      <c r="T26" s="109"/>
      <c r="U26" s="109"/>
      <c r="V26" s="109"/>
    </row>
    <row customHeight="true" ht="32" r="27">
      <c r="A27" s="191" t="str">
        <v>优势:自主装柜，海运市场优质后端，信誉清关行，快捷海外转运派送。</v>
      </c>
      <c r="B27" s="191"/>
      <c r="C27" s="191"/>
      <c r="D27" s="191"/>
      <c r="E27" s="191"/>
      <c r="F27" s="191"/>
      <c r="G27" s="191"/>
      <c r="H27" s="191"/>
      <c r="I27" s="191"/>
      <c r="J27" s="191"/>
      <c r="K27" s="191"/>
      <c r="L27" s="206"/>
      <c r="M27" s="206"/>
      <c r="N27" s="206"/>
      <c r="O27" s="206"/>
      <c r="P27" s="206"/>
      <c r="Q27" s="206"/>
      <c r="R27" s="206"/>
      <c r="S27" s="206"/>
    </row>
    <row customHeight="true" ht="32" r="28">
      <c r="A28" s="191" t="str">
        <v>注明：每周报价表为实时报价，不可控因素或市场变化调节过大时，升或降以到仓价格为准。</v>
      </c>
      <c r="B28" s="191"/>
      <c r="C28" s="191"/>
      <c r="D28" s="191"/>
      <c r="E28" s="191"/>
      <c r="F28" s="191"/>
      <c r="G28" s="191"/>
      <c r="H28" s="191"/>
      <c r="I28" s="191"/>
      <c r="J28" s="191"/>
      <c r="K28" s="191"/>
      <c r="L28" s="191"/>
      <c r="M28" s="191"/>
      <c r="N28" s="191"/>
      <c r="O28" s="191"/>
      <c r="P28" s="191"/>
      <c r="Q28" s="191"/>
      <c r="R28" s="191"/>
      <c r="S28" s="191"/>
    </row>
    <row customHeight="true" ht="32" r="29">
      <c r="A29" s="191" t="str">
        <v>包税附加费，未列明产品请跟业务联系</v>
      </c>
      <c r="B29" s="191"/>
      <c r="C29" s="191"/>
      <c r="D29" s="191"/>
      <c r="E29" s="191"/>
      <c r="F29" s="191"/>
      <c r="G29" s="191"/>
      <c r="H29" s="191"/>
      <c r="I29" s="191"/>
      <c r="J29" s="191"/>
      <c r="K29" s="191"/>
      <c r="L29" s="191"/>
      <c r="M29" s="191"/>
      <c r="N29" s="191"/>
      <c r="O29" s="191"/>
      <c r="P29" s="191"/>
      <c r="Q29" s="191"/>
      <c r="R29" s="191"/>
      <c r="S29" s="191"/>
    </row>
    <row customHeight="true" ht="47" r="30">
      <c r="A30" s="72" t="str">
        <v>单证报关250/票，单票超5个品名以上+50RMB/个
卡派超限附加费：最长边不可超过120CM,次长边不可超过100CM，超长附加单价*1.1倍计算。单箱实重超过30KG单询</v>
      </c>
      <c r="B30" s="72"/>
      <c r="C30" s="72"/>
      <c r="D30" s="72"/>
      <c r="E30" s="72"/>
      <c r="F30" s="72"/>
      <c r="G30" s="72"/>
      <c r="H30" s="72"/>
      <c r="I30" s="72"/>
      <c r="J30" s="72"/>
      <c r="K30" s="72"/>
      <c r="L30" s="72"/>
      <c r="M30" s="72"/>
      <c r="N30" s="72"/>
      <c r="O30" s="72"/>
      <c r="P30" s="72"/>
      <c r="Q30" s="72"/>
      <c r="R30" s="72"/>
      <c r="S30" s="72"/>
      <c r="T30" s="109"/>
      <c r="U30" s="109"/>
      <c r="V30" s="109"/>
    </row>
    <row customHeight="true" ht="55" r="31">
      <c r="A31" s="72" t="str">
        <v>温馨提示：请按我司提供的样板提供电子版发票和装箱单如实申报，如因申报品名/申报数量/申报单价/申报材质/申报HS等不符造成的清关问题，我司概不负责
（清关延误不算在正常派送日内）</v>
      </c>
      <c r="B31" s="72"/>
      <c r="C31" s="72"/>
      <c r="D31" s="72"/>
      <c r="E31" s="72"/>
      <c r="F31" s="72"/>
      <c r="G31" s="72"/>
      <c r="H31" s="72"/>
      <c r="I31" s="72"/>
      <c r="J31" s="72"/>
      <c r="K31" s="72"/>
      <c r="L31" s="72"/>
      <c r="M31" s="72"/>
      <c r="N31" s="72"/>
      <c r="O31" s="72"/>
      <c r="P31" s="72"/>
      <c r="Q31" s="72"/>
      <c r="R31" s="72"/>
      <c r="S31" s="72"/>
      <c r="T31" s="109"/>
      <c r="U31" s="109"/>
      <c r="V31" s="109"/>
    </row>
  </sheetData>
  <mergeCells>
    <mergeCell ref="A2:G2"/>
    <mergeCell ref="I2:N2"/>
    <mergeCell ref="P2:S2"/>
    <mergeCell ref="A3:G3"/>
    <mergeCell ref="I3:N3"/>
    <mergeCell ref="P3:S3"/>
    <mergeCell ref="B4:C4"/>
    <mergeCell ref="D4:E4"/>
    <mergeCell ref="F4:G4"/>
    <mergeCell ref="I4:J4"/>
    <mergeCell ref="K4:L4"/>
    <mergeCell ref="M4:N4"/>
    <mergeCell ref="P4:Q4"/>
    <mergeCell ref="R4:S4"/>
    <mergeCell ref="A19:G19"/>
    <mergeCell ref="I19:N19"/>
    <mergeCell ref="P19:S19"/>
    <mergeCell ref="A20:G20"/>
    <mergeCell ref="I20:N20"/>
    <mergeCell ref="P20:S20"/>
    <mergeCell ref="A21:S21"/>
    <mergeCell ref="A22:H22"/>
    <mergeCell ref="I22:K22"/>
    <mergeCell ref="L22:S22"/>
    <mergeCell ref="A23:H23"/>
    <mergeCell ref="I23:K23"/>
    <mergeCell ref="L23:S23"/>
    <mergeCell ref="A24:H24"/>
    <mergeCell ref="I24:K24"/>
    <mergeCell ref="L24:S24"/>
    <mergeCell ref="A25:H25"/>
    <mergeCell ref="I25:K25"/>
    <mergeCell ref="L25:S25"/>
    <mergeCell ref="A26:H26"/>
    <mergeCell ref="I26:K26"/>
    <mergeCell ref="L26:S26"/>
    <mergeCell ref="A27:S27"/>
    <mergeCell ref="A28:S28"/>
    <mergeCell ref="A29:S29"/>
    <mergeCell ref="A30:S30"/>
    <mergeCell ref="A31:S31"/>
  </mergeCells>
  <drawing r:id="rId1"/>
  <picture r:id="rId2"/>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C000"/>
    <outlinePr summaryBelow="false" summaryRight="false"/>
  </sheetPr>
  <dimension ref="A1"/>
  <sheetViews>
    <sheetView showGridLines="false" workbookViewId="0"/>
  </sheetViews>
  <sheetFormatPr defaultColWidth="14" defaultRowHeight="19"/>
  <cols>
    <col collapsed="false" customWidth="true" hidden="false" max="1" min="1" style="0" width="52"/>
    <col collapsed="false" customWidth="true" hidden="false" max="2" min="2" style="0" width="24"/>
    <col collapsed="false" customWidth="true" hidden="false" max="3" min="3" style="0" width="24"/>
    <col collapsed="false" customWidth="true" hidden="false" max="4" min="4" style="0" width="24"/>
    <col collapsed="false" customWidth="true" hidden="false" max="5" min="5" style="0" width="24"/>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33" r="1">
      <c r="A1" s="230"/>
      <c r="B1" s="230"/>
      <c r="C1" s="230"/>
      <c r="D1" s="230"/>
      <c r="E1" s="230"/>
    </row>
    <row customHeight="true" ht="46" r="2">
      <c r="A2" s="228" t="str">
        <v>快船600</v>
      </c>
      <c r="B2" s="228"/>
      <c r="C2" s="228"/>
      <c r="D2" s="228"/>
      <c r="E2" s="228"/>
    </row>
    <row customHeight="true" ht="46" r="3">
      <c r="A3" s="225" t="str">
        <v>热门卡派仓</v>
      </c>
      <c r="B3" s="226"/>
      <c r="C3" s="226"/>
      <c r="D3" s="226"/>
      <c r="E3" s="226"/>
    </row>
    <row customHeight="true" ht="36" r="4">
      <c r="A4" s="221"/>
      <c r="B4" s="218" t="str">
        <v>珠三角/汕头/义乌交货价</v>
      </c>
      <c r="C4" s="219"/>
      <c r="D4" s="220"/>
      <c r="E4" s="220"/>
    </row>
    <row customHeight="true" ht="24" r="5">
      <c r="A5" s="214" t="s">
        <v>17</v>
      </c>
      <c r="B5" s="211" t="str">
        <v>8kg+</v>
      </c>
      <c r="C5" s="212" t="str">
        <v>101KG+</v>
      </c>
      <c r="D5" s="213" t="str">
        <v>签收时效
（开船后）</v>
      </c>
      <c r="E5" s="213" t="str">
        <v>理赔时效
（开船后第二天算起）</v>
      </c>
    </row>
    <row customHeight="true" ht="30" r="6">
      <c r="A6" s="232"/>
      <c r="B6" s="211"/>
      <c r="C6" s="212"/>
      <c r="D6" s="213"/>
      <c r="E6" s="213"/>
    </row>
    <row customHeight="true" ht="38" r="7">
      <c r="A7" s="106" t="str">
        <v>ONT8,LAX9,LGB8,SBD1</v>
      </c>
      <c r="B7" s="113">
        <v>4.5</v>
      </c>
      <c r="C7" s="113">
        <v>4.3</v>
      </c>
      <c r="D7" s="215" t="str">
        <v>20-27个自然日</v>
      </c>
      <c r="E7" s="215" t="str">
        <v>26个工作日</v>
      </c>
    </row>
    <row customHeight="true" ht="48" r="8">
      <c r="A8" s="188" t="str">
        <v>GYR3,GYR2,LAS1,VGT2,SMF3,SCK4</v>
      </c>
      <c r="B8" s="222">
        <v>5.3</v>
      </c>
      <c r="C8" s="222">
        <v>5.1</v>
      </c>
      <c r="D8" s="223" t="str">
        <v>21-29个自然日</v>
      </c>
      <c r="E8" s="223" t="str">
        <v>27个工作日</v>
      </c>
    </row>
    <row customHeight="true" ht="48" r="9">
      <c r="A9" s="106" t="str">
        <v>MIT2,GEU3,GEU5,GEU2,HLI2,TCY1,TCY2</v>
      </c>
      <c r="B9" s="113">
        <v>5.3</v>
      </c>
      <c r="C9" s="113">
        <v>5.1</v>
      </c>
      <c r="D9" s="215" t="str">
        <v>21-29个自然日</v>
      </c>
      <c r="E9" s="215" t="str">
        <v>28个工作日</v>
      </c>
    </row>
    <row customHeight="true" ht="45" r="10">
      <c r="A10" s="188" t="str">
        <v>FTW1,ABQ2,IAH3,PSC2</v>
      </c>
      <c r="B10" s="222">
        <v>7.4</v>
      </c>
      <c r="C10" s="222">
        <v>7.2</v>
      </c>
      <c r="D10" s="223" t="str">
        <v>25-32个自然日</v>
      </c>
      <c r="E10" s="223" t="str">
        <v>32个工作日</v>
      </c>
    </row>
    <row customHeight="true" ht="38" r="11">
      <c r="A11" s="106" t="str">
        <v>MDW2,MQJ1,MEM1,FWA4,IND9</v>
      </c>
      <c r="B11" s="113">
        <v>7.7</v>
      </c>
      <c r="C11" s="113">
        <v>7.5</v>
      </c>
      <c r="D11" s="215" t="str">
        <v>25-32个自然日</v>
      </c>
      <c r="E11" s="215" t="str">
        <v>33个工作日</v>
      </c>
    </row>
    <row customHeight="true" ht="38" r="12">
      <c r="A12" s="188" t="str">
        <v>CLT2,RDU2</v>
      </c>
      <c r="B12" s="222">
        <v>8.7</v>
      </c>
      <c r="C12" s="222">
        <v>8.5</v>
      </c>
      <c r="D12" s="223" t="str">
        <v>28-34个自然日</v>
      </c>
      <c r="E12" s="223" t="str">
        <v>34个工作日</v>
      </c>
    </row>
    <row customHeight="true" ht="48" r="13">
      <c r="A13" s="106" t="str">
        <v>ORF2,RMN3,TEB3,TEB9,ABE8,AVP1,AVP3,SWF1,SWF2</v>
      </c>
      <c r="B13" s="113">
        <v>9</v>
      </c>
      <c r="C13" s="113">
        <v>8.8</v>
      </c>
      <c r="D13" s="215" t="str">
        <v>28-34个自然日</v>
      </c>
      <c r="E13" s="215" t="str">
        <v>34个工作日</v>
      </c>
    </row>
    <row customHeight="true" ht="38" r="14">
      <c r="A14" s="188" t="str">
        <v>JOT1,POC1,POC3,POC2</v>
      </c>
      <c r="B14" s="222">
        <v>4.5</v>
      </c>
      <c r="C14" s="222">
        <v>4.3</v>
      </c>
      <c r="D14" s="223" t="str">
        <v>20-27个自然日</v>
      </c>
      <c r="E14" s="229" t="str">
        <v>不参与时效赔付</v>
      </c>
    </row>
    <row customHeight="true" ht="38" r="15">
      <c r="A15" s="106" t="str">
        <v>IUSP,IUSQ,IUTI,IUSJ,IUSW,IUTF</v>
      </c>
      <c r="B15" s="113">
        <v>4.8</v>
      </c>
      <c r="C15" s="113">
        <v>4.6</v>
      </c>
      <c r="D15" s="215" t="str">
        <v>21-29个自然日</v>
      </c>
      <c r="E15" s="227" t="str">
        <v>不参与时效赔付</v>
      </c>
    </row>
    <row customHeight="true" ht="38" r="16">
      <c r="A16" s="188" t="str">
        <v>SCK8,QXY8,IUTE,MCC1,PSP3,QXY5</v>
      </c>
      <c r="B16" s="222">
        <v>5.5</v>
      </c>
      <c r="C16" s="222">
        <v>5.3</v>
      </c>
      <c r="D16" s="223" t="str">
        <v>21-29个自然日</v>
      </c>
      <c r="E16" s="229" t="str">
        <v>不参与时效赔付</v>
      </c>
    </row>
    <row customHeight="true" ht="45" r="17">
      <c r="A17" s="106" t="str">
        <v>AMA1,SAT1,SAT4,DFW6,RFD2,FTW5</v>
      </c>
      <c r="B17" s="113">
        <v>7.4</v>
      </c>
      <c r="C17" s="113">
        <v>7.2</v>
      </c>
      <c r="D17" s="215" t="str">
        <v>25-32个自然日</v>
      </c>
      <c r="E17" s="227" t="str">
        <v>不参与时效赔付</v>
      </c>
    </row>
    <row customHeight="true" ht="38" r="18">
      <c r="A18" s="188" t="str">
        <v>CMH2,CMH3,DET1,RYY2,JAX3,TPA2,TPA3</v>
      </c>
      <c r="B18" s="222" t="str">
        <v>*</v>
      </c>
      <c r="C18" s="222">
        <v>8.3</v>
      </c>
      <c r="D18" s="223" t="str">
        <v>32-40个自然日</v>
      </c>
      <c r="E18" s="229" t="str">
        <v>不参与时效赔付</v>
      </c>
    </row>
    <row customHeight="true" ht="38" r="19">
      <c r="A19" s="106" t="str">
        <v>HGR6,WBW2,PBI3,ABE4</v>
      </c>
      <c r="B19" s="113" t="str">
        <v>*</v>
      </c>
      <c r="C19" s="113">
        <v>8.6</v>
      </c>
      <c r="D19" s="215" t="str">
        <v>34-40个自然日</v>
      </c>
      <c r="E19" s="227" t="str">
        <v>不参与时效赔付</v>
      </c>
    </row>
    <row customHeight="true" ht="40" r="20">
      <c r="A20" s="107" t="str">
        <v>其他未开放卡派仓单询</v>
      </c>
      <c r="B20" s="224"/>
      <c r="C20" s="224"/>
      <c r="D20" s="224"/>
      <c r="E20" s="108"/>
    </row>
    <row customHeight="true" ht="104" r="21">
      <c r="A21" s="217" t="s">
        <v>18</v>
      </c>
      <c r="B21" s="217"/>
      <c r="C21" s="217"/>
      <c r="D21" s="217"/>
      <c r="E21" s="217"/>
      <c r="F21" s="216"/>
    </row>
    <row customHeight="true" ht="70" r="22">
      <c r="A22" s="189" t="str">
        <v>自2025年5月12日起
符合美国清关第232条款的钢铁制品、铝制品关税附加费加收0.5元/KG；</v>
      </c>
      <c r="B22" s="233"/>
      <c r="C22" s="233"/>
      <c r="D22" s="233"/>
      <c r="E22" s="233"/>
    </row>
    <row customHeight="true" ht="32" r="23">
      <c r="A23" s="184" t="str">
        <v>需加收产品及杂费</v>
      </c>
      <c r="B23" s="231" t="str">
        <v>加收金额</v>
      </c>
      <c r="C23" s="184" t="str">
        <v>备注</v>
      </c>
      <c r="D23" s="184"/>
      <c r="E23" s="184"/>
    </row>
    <row customHeight="true" ht="32" r="24">
      <c r="A24" s="72" t="str">
        <v>除高价值，高关税产品，其余普通产品无附加费</v>
      </c>
      <c r="B24" s="73" t="str">
        <v>无附加费</v>
      </c>
      <c r="C24" s="72" t="str">
        <v>由于产品本身专利或知识产权问题产生扣关，货物退回等后续问题由客户承担，我司保留追究的权力。</v>
      </c>
      <c r="D24" s="72"/>
      <c r="E24" s="72"/>
    </row>
    <row customHeight="true" ht="43" r="25">
      <c r="A25" s="72" t="str">
        <v>木制品、蓝牙产品、激光类产品、UL产品</v>
      </c>
      <c r="B25" s="73" t="str">
        <v>+1/KG</v>
      </c>
      <c r="C25" s="72" t="str">
        <v>FDA类产品，海关可能会查验。由于客户提供错误的FDA ID. 产生扣关，关税，货物退回等后续问题由客户承担，我司并保留追究的权力</v>
      </c>
      <c r="D25" s="72"/>
      <c r="E25" s="72"/>
    </row>
    <row customHeight="true" ht="36" r="26">
      <c r="A26" s="72" t="str">
        <v>化工品（指甲胶、精油、口红、眼影，卸妆水、洗发水等）</v>
      </c>
      <c r="B26" s="73" t="str">
        <v>+2/KG</v>
      </c>
      <c r="C26" s="72" t="str">
        <v>提供真实有效期内商检、MSDS认证视为普货，无需附加费（证书是否有效以相关部门是否认可为准）</v>
      </c>
      <c r="D26" s="72"/>
      <c r="E26" s="72"/>
    </row>
    <row customHeight="true" ht="53" r="27">
      <c r="A27" s="72" t="str">
        <v>国内贴标费</v>
      </c>
      <c r="B27" s="73" t="str">
        <v>1元/张</v>
      </c>
      <c r="C27" s="72" t="str">
        <v>为了准确快捷入库，请尽量配合贴好入仓标签/FBA标签/SKU标签等，因未贴标签或未及时告知导致仓库未能及时入库延误船期的我司概不负责</v>
      </c>
      <c r="D27" s="72"/>
      <c r="E27" s="72"/>
    </row>
    <row customHeight="true" ht="50" r="28">
      <c r="A28" s="191" t="str">
        <v>优势:自主装柜，海运市场优质后端，信誉清关行，快捷海外转运派送。</v>
      </c>
      <c r="B28" s="191"/>
      <c r="C28" s="191"/>
      <c r="D28" s="191"/>
      <c r="E28" s="191"/>
    </row>
    <row customHeight="true" ht="45" r="29">
      <c r="A29" s="191" t="str">
        <v>注明：每周报价表为实时报价，不可控因素或市场变化调节过大时，升或降以到仓价格为准。</v>
      </c>
      <c r="B29" s="191"/>
      <c r="C29" s="191"/>
      <c r="D29" s="191"/>
      <c r="E29" s="191"/>
      <c r="F29" s="92"/>
      <c r="G29" s="92"/>
      <c r="H29" s="92"/>
      <c r="I29" s="92"/>
      <c r="J29" s="92"/>
      <c r="K29" s="92"/>
      <c r="L29" s="92"/>
      <c r="M29" s="92"/>
      <c r="N29" s="92"/>
      <c r="O29" s="92"/>
      <c r="P29" s="92"/>
      <c r="Q29" s="92"/>
      <c r="R29" s="92"/>
      <c r="S29" s="92"/>
      <c r="T29" s="92"/>
    </row>
    <row customHeight="true" ht="47" r="30">
      <c r="A30" s="191" t="str">
        <v>包税附加费，未列明产品请跟业务联系</v>
      </c>
      <c r="B30" s="191"/>
      <c r="C30" s="191"/>
      <c r="D30" s="191"/>
      <c r="E30" s="191"/>
      <c r="F30" s="92"/>
      <c r="G30" s="92"/>
      <c r="H30" s="92"/>
      <c r="I30" s="92"/>
      <c r="J30" s="92"/>
      <c r="K30" s="92"/>
      <c r="L30" s="92"/>
      <c r="M30" s="92"/>
      <c r="N30" s="92"/>
      <c r="O30" s="92"/>
      <c r="P30" s="92"/>
      <c r="Q30" s="92"/>
      <c r="R30" s="92"/>
      <c r="S30" s="92"/>
      <c r="T30" s="92"/>
    </row>
    <row customHeight="true" ht="69" r="31">
      <c r="A31" s="72" t="str">
        <v>单证报关250/票，单票超5个品名以上+50RMB/个
卡派超限附加费：最长边不可超过120CM,次长边不可超过100CM，超长附加单价*1.1倍计算。单箱实重超过30KG单询</v>
      </c>
      <c r="B31" s="72"/>
      <c r="C31" s="72"/>
      <c r="D31" s="72"/>
      <c r="E31" s="72"/>
      <c r="F31" s="92"/>
      <c r="G31" s="92"/>
      <c r="H31" s="92"/>
      <c r="I31" s="92"/>
      <c r="J31" s="92"/>
      <c r="K31" s="92"/>
      <c r="L31" s="92"/>
      <c r="M31" s="92"/>
      <c r="N31" s="92"/>
      <c r="O31" s="92"/>
      <c r="P31" s="92"/>
      <c r="Q31" s="92"/>
      <c r="R31" s="92"/>
      <c r="S31" s="92"/>
      <c r="T31" s="92"/>
    </row>
    <row customHeight="true" ht="61" r="32">
      <c r="A32" s="72" t="str">
        <v>温馨提示：请按我司提供的样板提供电子版发票和装箱单如实申报，如因申报品名/申报数量/申报单价/申报材质/申报HS等不符造成的清关问题，我司概不负责
（清关延误不算在正常派送日内）</v>
      </c>
      <c r="B32" s="72"/>
      <c r="C32" s="72"/>
      <c r="D32" s="72"/>
      <c r="E32" s="72"/>
    </row>
  </sheetData>
  <mergeCells>
    <mergeCell ref="A2:E2"/>
    <mergeCell ref="A3:E3"/>
    <mergeCell ref="B4:C4"/>
    <mergeCell ref="D4:E4"/>
    <mergeCell ref="A20:E20"/>
    <mergeCell ref="A21:E21"/>
    <mergeCell ref="A22:E22"/>
    <mergeCell ref="C23:E23"/>
    <mergeCell ref="C24:E24"/>
    <mergeCell ref="C25:E25"/>
    <mergeCell ref="C26:E26"/>
    <mergeCell ref="C27:E27"/>
    <mergeCell ref="A28:E28"/>
    <mergeCell ref="A29:E29"/>
    <mergeCell ref="A30:E30"/>
    <mergeCell ref="A31:E31"/>
    <mergeCell ref="A32:E32"/>
    <mergeCell ref="A5:A6"/>
    <mergeCell ref="B5:B6"/>
    <mergeCell ref="C5:C6"/>
    <mergeCell ref="D5:D6"/>
    <mergeCell ref="E5:E6"/>
  </mergeCells>
  <drawing r:id="rId1"/>
  <picture r:id="rId2"/>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5B9BD5"/>
    <outlinePr summaryBelow="false" summaryRight="false"/>
  </sheetPr>
  <dimension ref="A1"/>
  <sheetViews>
    <sheetView showGridLines="true" workbookViewId="0"/>
  </sheetViews>
  <sheetFormatPr defaultColWidth="14" defaultRowHeight="19"/>
  <cols>
    <col collapsed="false" customWidth="true" hidden="false" max="1" min="1" style="0" width="41"/>
    <col collapsed="false" customWidth="true" hidden="false" max="2" min="2" style="0" width="19"/>
    <col collapsed="false" customWidth="true" hidden="false" max="3" min="3" style="0" width="19"/>
    <col collapsed="false" customWidth="true" hidden="false" max="4" min="4" style="0" width="19"/>
    <col collapsed="false" customWidth="true" hidden="false" max="5" min="5" style="0" width="2"/>
    <col collapsed="false" customWidth="true" hidden="false" max="6" min="6" style="0" width="33"/>
    <col collapsed="false" customWidth="true" hidden="false" max="7" min="7" style="0" width="19"/>
    <col collapsed="false" customWidth="true" hidden="false" max="8" min="8" style="0" width="19"/>
    <col collapsed="false" customWidth="true" hidden="false" max="9" min="9" style="0" width="19"/>
    <col collapsed="false" customWidth="true" hidden="false" max="10" min="10" style="0" width="2"/>
    <col collapsed="false" customWidth="true" hidden="false" max="11" min="11" style="0" width="21"/>
    <col collapsed="false" customWidth="true" hidden="false" max="12" min="12" style="0" width="19"/>
    <col collapsed="false" customWidth="true" hidden="false" max="13" min="13" style="0" width="19"/>
    <col collapsed="false" customWidth="true" hidden="false" max="14" min="14" style="0" width="19"/>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30" r="1">
      <c r="A1" s="109"/>
      <c r="B1" s="109"/>
      <c r="C1" s="109"/>
      <c r="D1" s="241"/>
      <c r="E1" s="92"/>
      <c r="F1" s="92"/>
      <c r="G1" s="92"/>
      <c r="H1" s="92"/>
      <c r="I1" s="92"/>
      <c r="J1" s="92"/>
      <c r="K1" s="92"/>
      <c r="L1" s="92"/>
      <c r="M1" s="92"/>
      <c r="N1" s="92"/>
      <c r="O1" s="92"/>
      <c r="P1" s="92"/>
      <c r="Q1" s="92"/>
      <c r="R1" s="92"/>
      <c r="S1" s="92"/>
      <c r="T1" s="92"/>
    </row>
    <row customHeight="true" ht="42" r="2">
      <c r="A2" s="228" t="str">
        <v>洛杉矶768</v>
      </c>
      <c r="B2" s="228"/>
      <c r="C2" s="228"/>
      <c r="D2" s="228"/>
      <c r="E2" s="13"/>
      <c r="F2" s="177" t="str">
        <v>奥克兰744</v>
      </c>
      <c r="G2" s="228"/>
      <c r="H2" s="228"/>
      <c r="I2" s="175"/>
      <c r="J2" s="13"/>
      <c r="K2" s="177" t="str">
        <v>西雅图788</v>
      </c>
      <c r="L2" s="228"/>
      <c r="M2" s="228"/>
      <c r="N2" s="228"/>
    </row>
    <row customHeight="true" ht="32" r="3">
      <c r="A3" s="255" t="str">
        <v>卡派包税</v>
      </c>
      <c r="B3" s="255"/>
      <c r="C3" s="255"/>
      <c r="D3" s="255"/>
      <c r="E3" s="13"/>
      <c r="F3" s="257" t="str">
        <v>卡派包税</v>
      </c>
      <c r="G3" s="255"/>
      <c r="H3" s="255"/>
      <c r="I3" s="256"/>
      <c r="J3" s="13"/>
      <c r="K3" s="257" t="str">
        <v>卡派包税</v>
      </c>
      <c r="L3" s="255"/>
      <c r="M3" s="255"/>
      <c r="N3" s="255"/>
    </row>
    <row customHeight="true" ht="32" r="4">
      <c r="A4" s="218"/>
      <c r="B4" s="218" t="str">
        <v>珠三角/汕头/义乌交货价</v>
      </c>
      <c r="C4" s="219"/>
      <c r="D4" s="249"/>
      <c r="E4" s="13"/>
      <c r="F4" s="250"/>
      <c r="G4" s="218" t="str">
        <v>珠三角/汕头/义乌交货价</v>
      </c>
      <c r="H4" s="219"/>
      <c r="I4" s="251"/>
      <c r="J4" s="13"/>
      <c r="K4" s="250"/>
      <c r="L4" s="218" t="str">
        <v>珠三角/汕头/义乌交货价</v>
      </c>
      <c r="M4" s="219"/>
      <c r="N4" s="249"/>
    </row>
    <row customHeight="true" ht="24" r="5">
      <c r="A5" s="214" t="s">
        <v>17</v>
      </c>
      <c r="B5" s="211" t="str">
        <v>8kg+</v>
      </c>
      <c r="C5" s="212" t="str">
        <v>101KG+</v>
      </c>
      <c r="D5" s="236" t="str">
        <v>参考时效（开船后）</v>
      </c>
      <c r="E5" s="13"/>
      <c r="F5" s="242" t="s">
        <v>17</v>
      </c>
      <c r="G5" s="211" t="str">
        <v>8kg+</v>
      </c>
      <c r="H5" s="212" t="str">
        <v>101KG+</v>
      </c>
      <c r="I5" s="234" t="str">
        <v>参考时效（开船后）</v>
      </c>
      <c r="J5" s="13"/>
      <c r="K5" s="242" t="s">
        <v>17</v>
      </c>
      <c r="L5" s="211" t="str">
        <v>8kg+</v>
      </c>
      <c r="M5" s="212" t="str">
        <v>101KG+</v>
      </c>
      <c r="N5" s="236" t="str">
        <v>参考时效（开船后）</v>
      </c>
    </row>
    <row customHeight="true" ht="30" r="6">
      <c r="A6" s="232"/>
      <c r="B6" s="211"/>
      <c r="C6" s="212"/>
      <c r="D6" s="236"/>
      <c r="E6" s="13"/>
      <c r="F6" s="235"/>
      <c r="G6" s="211"/>
      <c r="H6" s="212"/>
      <c r="I6" s="234"/>
      <c r="J6" s="13"/>
      <c r="K6" s="235"/>
      <c r="L6" s="211"/>
      <c r="M6" s="212"/>
      <c r="N6" s="236"/>
    </row>
    <row customHeight="true" ht="38" r="7">
      <c r="A7" s="106" t="str">
        <v>ONT8,LAX9,LGB8,SBD1,JOT1,POC1,POC3,POC2</v>
      </c>
      <c r="B7" s="113">
        <v>4.2</v>
      </c>
      <c r="C7" s="243">
        <v>4</v>
      </c>
      <c r="D7" s="24" t="str">
        <v>24-32个自然日</v>
      </c>
      <c r="E7" s="13"/>
      <c r="F7" s="245" t="str">
        <v>SCK4,SMF3,SCK1,SCK3,OAK3,SJC7</v>
      </c>
      <c r="G7" s="113">
        <v>5.2</v>
      </c>
      <c r="H7" s="243">
        <v>5</v>
      </c>
      <c r="I7" s="94" t="str">
        <v>26-34个自然日</v>
      </c>
      <c r="J7" s="13"/>
      <c r="K7" s="245" t="str">
        <v>BFI3,BFI7</v>
      </c>
      <c r="L7" s="113">
        <v>6.3</v>
      </c>
      <c r="M7" s="243">
        <v>6.1</v>
      </c>
      <c r="N7" s="24" t="str">
        <v>28-37个自然日</v>
      </c>
    </row>
    <row customHeight="true" ht="48" r="8">
      <c r="A8" s="188" t="str">
        <v>GYR3,GYR2,LAS1,VGT2,MIT2,GEU3,QXY5,GEU5,GEU2,QXY8</v>
      </c>
      <c r="B8" s="222">
        <v>5.2</v>
      </c>
      <c r="C8" s="238">
        <v>5</v>
      </c>
      <c r="D8" s="187" t="str">
        <v>25-34个自然日</v>
      </c>
      <c r="E8" s="13"/>
      <c r="F8" s="237" t="str">
        <v>TCY1,TCY2,SCK8,SMF7,MCE1,SMF6,QXY5</v>
      </c>
      <c r="G8" s="222">
        <v>5.6</v>
      </c>
      <c r="H8" s="238">
        <v>5.4</v>
      </c>
      <c r="I8" s="239" t="str">
        <v>27-34个自然日</v>
      </c>
      <c r="J8" s="13"/>
      <c r="K8" s="237" t="str">
        <v>PSC2</v>
      </c>
      <c r="L8" s="222">
        <v>6.6</v>
      </c>
      <c r="M8" s="238">
        <v>6.4</v>
      </c>
      <c r="N8" s="187" t="str">
        <v>30-40个自然日</v>
      </c>
    </row>
    <row customHeight="true" ht="47" r="9">
      <c r="A9" s="106" t="str">
        <v>XLX7,KRB1,KRB4,ONT2,ONT6,ONT9,LGB4,LGB6,LGB9,SBD2,SNA4</v>
      </c>
      <c r="B9" s="113">
        <v>5</v>
      </c>
      <c r="C9" s="243">
        <v>4.8</v>
      </c>
      <c r="D9" s="24" t="str">
        <v>26-34个自然日</v>
      </c>
      <c r="E9" s="13"/>
      <c r="F9" s="245" t="str">
        <v>HLI2,FAT2</v>
      </c>
      <c r="G9" s="113">
        <v>5.7</v>
      </c>
      <c r="H9" s="243">
        <v>5.5</v>
      </c>
      <c r="I9" s="244" t="str">
        <v>30-36个自然日</v>
      </c>
      <c r="J9" s="13"/>
      <c r="K9" s="245" t="str">
        <v>PDX6,PDX7</v>
      </c>
      <c r="L9" s="113">
        <v>6.8</v>
      </c>
      <c r="M9" s="243">
        <v>6.6</v>
      </c>
      <c r="N9" s="24" t="str">
        <v>30-40个自然日</v>
      </c>
    </row>
    <row customHeight="true" ht="45" r="10">
      <c r="A10" s="188" t="str">
        <v>PHX3,PHX5,PHX7,AZA4,LAS6,LAS7</v>
      </c>
      <c r="B10" s="222">
        <v>6</v>
      </c>
      <c r="C10" s="238">
        <v>5.8</v>
      </c>
      <c r="D10" s="187" t="str">
        <v>27-36个自然日</v>
      </c>
      <c r="E10" s="13"/>
      <c r="F10" s="237" t="str">
        <v>MCC1</v>
      </c>
      <c r="G10" s="222">
        <v>5.7</v>
      </c>
      <c r="H10" s="238">
        <v>5.5</v>
      </c>
      <c r="I10" s="239" t="str">
        <v>30-36个自然日</v>
      </c>
      <c r="J10" s="13"/>
      <c r="K10" s="237" t="str">
        <v>GEG2</v>
      </c>
      <c r="L10" s="222">
        <v>7.2</v>
      </c>
      <c r="M10" s="238">
        <v>7</v>
      </c>
      <c r="N10" s="187" t="str">
        <v>32-40个自然日</v>
      </c>
    </row>
    <row customHeight="true" ht="38" r="11">
      <c r="A11" s="258" t="str">
        <v>其他未开放卡派仓单询</v>
      </c>
      <c r="B11" s="259"/>
      <c r="C11" s="259"/>
      <c r="D11" s="260"/>
      <c r="E11" s="13"/>
      <c r="F11" s="258" t="str">
        <v>其他未开放卡派仓单询</v>
      </c>
      <c r="G11" s="259"/>
      <c r="H11" s="259"/>
      <c r="I11" s="260"/>
      <c r="J11" s="13"/>
      <c r="K11" s="108" t="str">
        <v>其他未开放卡派仓单询</v>
      </c>
      <c r="L11" s="23"/>
      <c r="M11" s="23"/>
      <c r="N11" s="23"/>
    </row>
    <row customHeight="true" ht="44" r="12">
      <c r="A12" s="252" t="s">
        <v>21</v>
      </c>
      <c r="B12" s="253"/>
      <c r="C12" s="253"/>
      <c r="D12" s="254"/>
      <c r="E12" s="196"/>
      <c r="F12" s="252" t="s">
        <v>19</v>
      </c>
      <c r="G12" s="252"/>
      <c r="H12" s="252"/>
      <c r="I12" s="252"/>
      <c r="J12" s="196"/>
      <c r="K12" s="252" t="s">
        <v>20</v>
      </c>
      <c r="L12" s="252"/>
      <c r="M12" s="252"/>
      <c r="N12" s="252"/>
    </row>
    <row customHeight="true" ht="64" r="13">
      <c r="A13" s="189" t="str">
        <v>自2025年5月12日起
符合美国清关第232条款的钢铁制品、铝制品关税附加费加收0.5元/KG；</v>
      </c>
      <c r="B13" s="189"/>
      <c r="C13" s="189"/>
      <c r="D13" s="189"/>
      <c r="E13" s="189"/>
      <c r="F13" s="189"/>
      <c r="G13" s="189"/>
      <c r="H13" s="189"/>
      <c r="I13" s="189"/>
      <c r="J13" s="189"/>
      <c r="K13" s="189"/>
      <c r="L13" s="189"/>
      <c r="M13" s="189"/>
      <c r="N13" s="189"/>
    </row>
    <row customHeight="true" ht="43" r="14">
      <c r="A14" s="185" t="str">
        <v>需加收产品及杂费</v>
      </c>
      <c r="B14" s="182"/>
      <c r="C14" s="183" t="str">
        <v>加收金额</v>
      </c>
      <c r="D14" s="186"/>
      <c r="E14" s="240"/>
      <c r="F14" s="183" t="str">
        <v>备注</v>
      </c>
      <c r="G14" s="186"/>
      <c r="H14" s="186"/>
      <c r="I14" s="186"/>
      <c r="J14" s="186"/>
      <c r="K14" s="186"/>
      <c r="L14" s="186"/>
      <c r="M14" s="186"/>
      <c r="N14" s="240"/>
    </row>
    <row customHeight="true" ht="36" r="15">
      <c r="A15" s="73" t="str">
        <v>除高价值，高关税产品，其余普通产品无附加费</v>
      </c>
      <c r="B15" s="71"/>
      <c r="C15" s="73" t="str">
        <v>无附加费</v>
      </c>
      <c r="D15" s="71"/>
      <c r="E15" s="74"/>
      <c r="F15" s="73" t="str">
        <v>由于产品本身专利或知识产权问题产生扣关，货物退回等后续问题由客户承担，我司保留追究的权力。</v>
      </c>
      <c r="G15" s="71"/>
      <c r="H15" s="71"/>
      <c r="I15" s="71"/>
      <c r="J15" s="71"/>
      <c r="K15" s="71"/>
      <c r="L15" s="71"/>
      <c r="M15" s="71"/>
      <c r="N15" s="74"/>
    </row>
    <row customHeight="true" ht="53" r="16">
      <c r="A16" s="73" t="str">
        <v>木制品、蓝牙产品、激光类产品、UL产品</v>
      </c>
      <c r="B16" s="71"/>
      <c r="C16" s="73" t="str">
        <v>+1/KG</v>
      </c>
      <c r="D16" s="71"/>
      <c r="E16" s="74"/>
      <c r="F16" s="73" t="str">
        <v>FDA类产品，海关可能会查验。由于客户提供错误的FDA ID. 产生扣关，关税，货物退回等后续问题由客户承担，我司并保留追究的权力</v>
      </c>
      <c r="G16" s="71"/>
      <c r="H16" s="71"/>
      <c r="I16" s="71"/>
      <c r="J16" s="71"/>
      <c r="K16" s="71"/>
      <c r="L16" s="71"/>
      <c r="M16" s="71"/>
      <c r="N16" s="74"/>
    </row>
    <row customHeight="true" ht="50" r="17">
      <c r="A17" s="73" t="str">
        <v>化工品（指甲胶、精油、口红、眼影，卸妆水、洗发水等）</v>
      </c>
      <c r="B17" s="71"/>
      <c r="C17" s="73" t="str">
        <v>+2/KG</v>
      </c>
      <c r="D17" s="71"/>
      <c r="E17" s="74"/>
      <c r="F17" s="73" t="str">
        <v>提供真实有效期内商检、MSDS认证视为普货，无需附加费（证书是否有效以相关部门是否认可为准）</v>
      </c>
      <c r="G17" s="71"/>
      <c r="H17" s="71"/>
      <c r="I17" s="71"/>
      <c r="J17" s="71"/>
      <c r="K17" s="71"/>
      <c r="L17" s="71"/>
      <c r="M17" s="71"/>
      <c r="N17" s="74"/>
    </row>
    <row customHeight="true" ht="45" r="18">
      <c r="A18" s="73" t="str">
        <v>国内贴标费</v>
      </c>
      <c r="B18" s="71"/>
      <c r="C18" s="73" t="str">
        <v>1元/张</v>
      </c>
      <c r="D18" s="71"/>
      <c r="E18" s="74"/>
      <c r="F18" s="73" t="str">
        <v>为了准确快捷入库，请尽量配合贴好入仓标签/FBA标签/SKU标签等，因未贴标签或未及时告知导致仓库未能及时入库延误船期的我司概不负责</v>
      </c>
      <c r="G18" s="71"/>
      <c r="H18" s="71"/>
      <c r="I18" s="71"/>
      <c r="J18" s="71"/>
      <c r="K18" s="71"/>
      <c r="L18" s="71"/>
      <c r="M18" s="71"/>
      <c r="N18" s="74"/>
      <c r="O18" s="92"/>
      <c r="P18" s="92"/>
      <c r="Q18" s="92"/>
      <c r="R18" s="92"/>
      <c r="S18" s="92"/>
      <c r="T18" s="92"/>
    </row>
    <row customHeight="true" ht="32" r="19">
      <c r="A19" s="248" t="str">
        <v>优势:自主装柜，海运市场优质后端，信誉清关行，快捷海外转运派送。</v>
      </c>
      <c r="B19" s="246"/>
      <c r="C19" s="246"/>
      <c r="D19" s="246"/>
      <c r="E19" s="246"/>
      <c r="F19" s="246"/>
      <c r="G19" s="246"/>
      <c r="H19" s="246"/>
      <c r="I19" s="247"/>
      <c r="J19" s="246"/>
      <c r="K19" s="246"/>
      <c r="L19" s="246"/>
      <c r="M19" s="246"/>
      <c r="N19" s="247"/>
    </row>
    <row customHeight="true" ht="32" r="20">
      <c r="A20" s="248" t="str">
        <v>注明：每周报价表为实时报价，不可控因素或市场变化调节过大时，升或降以到仓价格为准。</v>
      </c>
      <c r="B20" s="246"/>
      <c r="C20" s="246"/>
      <c r="D20" s="246"/>
      <c r="E20" s="246"/>
      <c r="F20" s="246"/>
      <c r="G20" s="246"/>
      <c r="H20" s="246"/>
      <c r="I20" s="247"/>
      <c r="J20" s="246"/>
      <c r="K20" s="246"/>
      <c r="L20" s="246"/>
      <c r="M20" s="246"/>
      <c r="N20" s="247"/>
    </row>
    <row customHeight="true" ht="32" r="21">
      <c r="A21" s="248" t="str">
        <v>包税附加费，未列明产品请跟业务联系</v>
      </c>
      <c r="B21" s="246"/>
      <c r="C21" s="246"/>
      <c r="D21" s="246"/>
      <c r="E21" s="246"/>
      <c r="F21" s="246"/>
      <c r="G21" s="246"/>
      <c r="H21" s="246"/>
      <c r="I21" s="247"/>
      <c r="J21" s="246"/>
      <c r="K21" s="246"/>
      <c r="L21" s="246"/>
      <c r="M21" s="246"/>
      <c r="N21" s="247"/>
    </row>
    <row customHeight="true" ht="47" r="22">
      <c r="A22" s="73" t="str">
        <v>单证报关250/票，单票超5个品名以上+50RMB/个
卡派超限附加费：最长边不可超过120CM,次长边不可超过100CM，超长附加单价*1.1倍计算。单箱实重超过30KG单询</v>
      </c>
      <c r="B22" s="71"/>
      <c r="C22" s="71"/>
      <c r="D22" s="71"/>
      <c r="E22" s="71"/>
      <c r="F22" s="71"/>
      <c r="G22" s="71"/>
      <c r="H22" s="71"/>
      <c r="I22" s="74"/>
      <c r="J22" s="71"/>
      <c r="K22" s="71"/>
      <c r="L22" s="71"/>
      <c r="M22" s="71"/>
      <c r="N22" s="74"/>
      <c r="O22" s="92"/>
      <c r="P22" s="92"/>
      <c r="Q22" s="92"/>
      <c r="R22" s="92"/>
      <c r="S22" s="92"/>
      <c r="T22" s="92"/>
    </row>
    <row customHeight="true" ht="69" r="23">
      <c r="A23" s="72" t="str">
        <v>温馨提示：请按我司提供的样板提供电子版发票和装箱单如实申报，如因申报品名/申报数量/申报单价/申报材质/申报HS等不符造成的清关问题，我司概不负责
（清关延误不算在正常派送日内）</v>
      </c>
      <c r="B23" s="72"/>
      <c r="C23" s="72"/>
      <c r="D23" s="72"/>
      <c r="E23" s="72"/>
      <c r="F23" s="72"/>
      <c r="G23" s="72"/>
      <c r="H23" s="72"/>
      <c r="I23" s="72"/>
      <c r="J23" s="72"/>
      <c r="K23" s="72"/>
      <c r="L23" s="72"/>
      <c r="M23" s="72"/>
      <c r="N23" s="72"/>
      <c r="O23" s="92"/>
      <c r="P23" s="92"/>
      <c r="Q23" s="92"/>
      <c r="R23" s="92"/>
      <c r="S23" s="92"/>
      <c r="T23" s="92"/>
    </row>
  </sheetData>
  <mergeCells>
    <mergeCell ref="A1:D1"/>
    <mergeCell ref="A2:D2"/>
    <mergeCell ref="F2:I2"/>
    <mergeCell ref="K2:N2"/>
    <mergeCell ref="A3:D3"/>
    <mergeCell ref="F3:I3"/>
    <mergeCell ref="K3:N3"/>
    <mergeCell ref="B4:C4"/>
    <mergeCell ref="G4:H4"/>
    <mergeCell ref="L4:M4"/>
    <mergeCell ref="A11:D11"/>
    <mergeCell ref="F11:I11"/>
    <mergeCell ref="K11:N11"/>
    <mergeCell ref="A12:D12"/>
    <mergeCell ref="F12:I12"/>
    <mergeCell ref="K12:N12"/>
    <mergeCell ref="A13:N13"/>
    <mergeCell ref="A14:B14"/>
    <mergeCell ref="C14:E14"/>
    <mergeCell ref="F14:N14"/>
    <mergeCell ref="A15:B15"/>
    <mergeCell ref="C15:E15"/>
    <mergeCell ref="F15:N15"/>
    <mergeCell ref="A16:B16"/>
    <mergeCell ref="C16:E16"/>
    <mergeCell ref="F16:N16"/>
    <mergeCell ref="A17:B17"/>
    <mergeCell ref="C17:E17"/>
    <mergeCell ref="F17:N17"/>
    <mergeCell ref="A18:B18"/>
    <mergeCell ref="C18:E18"/>
    <mergeCell ref="F18:N18"/>
    <mergeCell ref="A19:N19"/>
    <mergeCell ref="A20:N20"/>
    <mergeCell ref="A21:N21"/>
    <mergeCell ref="A22:N22"/>
    <mergeCell ref="A23:N23"/>
    <mergeCell ref="A5:A6"/>
    <mergeCell ref="B5:B6"/>
    <mergeCell ref="C5:C6"/>
    <mergeCell ref="D5:D6"/>
    <mergeCell ref="E2:E12"/>
    <mergeCell ref="F5:F6"/>
    <mergeCell ref="G5:G6"/>
    <mergeCell ref="H5:H6"/>
    <mergeCell ref="I5:I6"/>
    <mergeCell ref="J2:J12"/>
    <mergeCell ref="K5:K6"/>
    <mergeCell ref="L5:L6"/>
    <mergeCell ref="M5:M6"/>
    <mergeCell ref="N5:N6"/>
  </mergeCells>
  <drawing r:id="rId1"/>
  <picture r:id="rId2"/>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9CC3E5"/>
    <outlinePr summaryBelow="false" summaryRight="false"/>
  </sheetPr>
  <dimension ref="A1"/>
  <sheetViews>
    <sheetView showGridLines="true" workbookViewId="0"/>
  </sheetViews>
  <sheetFormatPr defaultColWidth="14" defaultRowHeight="19"/>
  <cols>
    <col collapsed="false" customWidth="true" hidden="false" max="1" min="1" style="0" width="42"/>
    <col collapsed="false" customWidth="true" hidden="false" max="2" min="2" style="0" width="20"/>
    <col collapsed="false" customWidth="true" hidden="false" max="3" min="3" style="0" width="20"/>
    <col collapsed="false" customWidth="true" hidden="false" max="4" min="4" style="0" width="20"/>
    <col collapsed="false" customWidth="true" hidden="false" max="5" min="5" style="0" width="3"/>
    <col collapsed="false" customWidth="true" hidden="false" max="6" min="6" style="0" width="39"/>
    <col collapsed="false" customWidth="true" hidden="false" max="7" min="7" style="0" width="20"/>
    <col collapsed="false" customWidth="true" hidden="false" max="8" min="8" style="0" width="20"/>
    <col collapsed="false" customWidth="true" hidden="false" max="9" min="9" style="0" width="2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30" r="1">
      <c r="A1" s="109">
        <v>3</v>
      </c>
      <c r="B1" s="109"/>
      <c r="C1" s="109"/>
      <c r="D1" s="241"/>
      <c r="E1" s="92"/>
      <c r="F1" s="92"/>
      <c r="G1" s="92"/>
      <c r="H1" s="92"/>
      <c r="I1" s="92"/>
      <c r="J1" s="92"/>
      <c r="K1" s="92"/>
      <c r="L1" s="92"/>
      <c r="M1" s="92"/>
      <c r="N1" s="92"/>
      <c r="O1" s="92"/>
      <c r="P1" s="92"/>
      <c r="Q1" s="92"/>
      <c r="R1" s="92"/>
      <c r="S1" s="92"/>
      <c r="T1" s="92"/>
    </row>
    <row customHeight="true" ht="42" r="2">
      <c r="A2" s="228" t="str">
        <v>芝加哥840</v>
      </c>
      <c r="B2" s="228"/>
      <c r="C2" s="228"/>
      <c r="D2" s="228"/>
      <c r="E2" s="92"/>
      <c r="F2" s="228" t="str">
        <v>休斯顿866</v>
      </c>
      <c r="G2" s="228"/>
      <c r="H2" s="228"/>
      <c r="I2" s="228"/>
    </row>
    <row customHeight="true" ht="32" r="3">
      <c r="A3" s="255" t="str">
        <v>卡派包税</v>
      </c>
      <c r="B3" s="255"/>
      <c r="C3" s="255"/>
      <c r="D3" s="255"/>
      <c r="E3" s="92"/>
      <c r="F3" s="255" t="str">
        <v>卡派包税</v>
      </c>
      <c r="G3" s="255"/>
      <c r="H3" s="255"/>
      <c r="I3" s="255"/>
    </row>
    <row customHeight="true" ht="32" r="4">
      <c r="A4" s="218"/>
      <c r="B4" s="218" t="str">
        <v>珠三角/汕头/义乌交货价</v>
      </c>
      <c r="C4" s="219"/>
      <c r="D4" s="249"/>
      <c r="E4" s="268"/>
      <c r="F4" s="218"/>
      <c r="G4" s="218" t="str">
        <v>珠三角/汕头/义乌交货价</v>
      </c>
      <c r="H4" s="219"/>
      <c r="I4" s="249"/>
    </row>
    <row customHeight="true" ht="24" r="5">
      <c r="A5" s="214" t="s">
        <v>17</v>
      </c>
      <c r="B5" s="211" t="str">
        <v>8kg+</v>
      </c>
      <c r="C5" s="212" t="str">
        <v>101KG+</v>
      </c>
      <c r="D5" s="236" t="str">
        <v>参考时效（开船后）</v>
      </c>
      <c r="E5" s="92"/>
      <c r="F5" s="214" t="s">
        <v>17</v>
      </c>
      <c r="G5" s="211" t="str">
        <v>8kg+</v>
      </c>
      <c r="H5" s="212" t="str">
        <v>101KG+</v>
      </c>
      <c r="I5" s="236" t="str">
        <v>参考时效（开船后）</v>
      </c>
    </row>
    <row customHeight="true" ht="30" r="6">
      <c r="A6" s="232"/>
      <c r="B6" s="211"/>
      <c r="C6" s="212"/>
      <c r="D6" s="236"/>
      <c r="E6" s="92"/>
      <c r="F6" s="232"/>
      <c r="G6" s="211"/>
      <c r="H6" s="212"/>
      <c r="I6" s="236"/>
    </row>
    <row customHeight="true" ht="50" r="7">
      <c r="A7" s="106" t="str">
        <v>MDW2,ORD2,IGQ2,MDW9,RFD2,RFD4,JVL1,MDW6</v>
      </c>
      <c r="B7" s="113">
        <v>6.7</v>
      </c>
      <c r="C7" s="243">
        <v>6.5</v>
      </c>
      <c r="D7" s="24" t="str">
        <v>30-35个自然日</v>
      </c>
      <c r="E7" s="92"/>
      <c r="F7" s="106" t="str">
        <v>HOU8,HOU7,HOU3,HOU2,HOU1,IAH3</v>
      </c>
      <c r="G7" s="113">
        <v>5.9</v>
      </c>
      <c r="H7" s="243">
        <v>5.7</v>
      </c>
      <c r="I7" s="24" t="str">
        <v>32-37个自然日</v>
      </c>
    </row>
    <row customHeight="true" ht="57" r="8">
      <c r="A8" s="188" t="str">
        <v>IND9,FWA4,MQJ1,MQJ2,STL4,IND2,IND4,IND5,PPO4</v>
      </c>
      <c r="B8" s="222">
        <v>7.1</v>
      </c>
      <c r="C8" s="238">
        <v>6.9</v>
      </c>
      <c r="D8" s="187" t="str">
        <v>33-42个自然日</v>
      </c>
      <c r="E8" s="92"/>
      <c r="F8" s="188" t="str">
        <v>FTW9,FTW1,FTW5,FTW3,SAT1,FTW2,IUSF,DFW7,DFW6,DAL3,SAT6,SAT4,IUTH</v>
      </c>
      <c r="G8" s="222">
        <v>6.4</v>
      </c>
      <c r="H8" s="238">
        <v>6.2</v>
      </c>
      <c r="I8" s="187" t="str">
        <v>35-42个自然日</v>
      </c>
    </row>
    <row customHeight="true" ht="48" r="9">
      <c r="A9" s="106" t="str">
        <v>DET1,DET2,LAN2,CMH2,CMH3,CMH7</v>
      </c>
      <c r="B9" s="113">
        <v>7.4</v>
      </c>
      <c r="C9" s="243">
        <v>7.2</v>
      </c>
      <c r="D9" s="24" t="str">
        <v>35-45个自然日</v>
      </c>
      <c r="E9" s="92"/>
      <c r="F9" s="106" t="str">
        <v>LFT1,AMA1,OKC2</v>
      </c>
      <c r="G9" s="113">
        <v>7.1</v>
      </c>
      <c r="H9" s="243">
        <v>6.9</v>
      </c>
      <c r="I9" s="24" t="str">
        <v>38-45个自然日</v>
      </c>
    </row>
    <row customHeight="true" ht="40" r="10">
      <c r="A10" s="188" t="str">
        <v>MKC4,MCI3,STL3</v>
      </c>
      <c r="B10" s="222">
        <v>7.9</v>
      </c>
      <c r="C10" s="238">
        <v>7.7</v>
      </c>
      <c r="D10" s="187" t="str">
        <v>38-45个自然日</v>
      </c>
      <c r="E10" s="92"/>
      <c r="F10" s="188" t="str">
        <v>LIT2,ICT2,FOE1</v>
      </c>
      <c r="G10" s="222">
        <v>6.8</v>
      </c>
      <c r="H10" s="238">
        <v>6.6</v>
      </c>
      <c r="I10" s="187" t="str">
        <v>38-45个自然日</v>
      </c>
    </row>
    <row customHeight="true" ht="36" r="11">
      <c r="A11" s="107" t="str">
        <v>其他未开放卡派仓单询</v>
      </c>
      <c r="B11" s="224"/>
      <c r="C11" s="224"/>
      <c r="D11" s="108"/>
      <c r="E11" s="92"/>
      <c r="F11" s="266" t="str">
        <v>其他未开放卡派仓单询</v>
      </c>
      <c r="G11" s="265"/>
      <c r="H11" s="265"/>
      <c r="I11" s="265"/>
    </row>
    <row customHeight="true" ht="53" r="12">
      <c r="A12" s="252" t="str">
        <v>盐田直达洛杉矶港后上火车中转到芝加哥站
预计开船后840小时提取，助力卖家安心长期备货</v>
      </c>
      <c r="B12" s="253"/>
      <c r="C12" s="253"/>
      <c r="D12" s="254"/>
      <c r="E12" s="92"/>
      <c r="F12" s="267" t="s">
        <v>22</v>
      </c>
      <c r="G12" s="267"/>
      <c r="H12" s="267"/>
      <c r="I12" s="267"/>
    </row>
    <row customHeight="true" ht="70" r="13">
      <c r="A13" s="189" t="str">
        <v>自2025年5月12日起
符合美国清关第232条款的钢铁制品、铝制品关税附加费加收0.5元/KG；</v>
      </c>
      <c r="B13" s="189"/>
      <c r="C13" s="189"/>
      <c r="D13" s="189"/>
      <c r="E13" s="189"/>
      <c r="F13" s="189"/>
      <c r="G13" s="189"/>
      <c r="H13" s="189"/>
      <c r="I13" s="189"/>
    </row>
    <row customHeight="true" ht="43" r="14">
      <c r="A14" s="263" t="str">
        <v>需加收产品及杂费</v>
      </c>
      <c r="B14" s="261"/>
      <c r="C14" s="231" t="str">
        <v>加收金额</v>
      </c>
      <c r="D14" s="262"/>
      <c r="E14" s="264"/>
      <c r="F14" s="231" t="str">
        <v>备注</v>
      </c>
      <c r="G14" s="262"/>
      <c r="H14" s="262"/>
      <c r="I14" s="264"/>
    </row>
    <row customHeight="true" ht="36" r="15">
      <c r="A15" s="73" t="str">
        <v>除高价值，高关税产品，其余普通产品无附加费</v>
      </c>
      <c r="B15" s="71"/>
      <c r="C15" s="73" t="str">
        <v>无附加费</v>
      </c>
      <c r="D15" s="71"/>
      <c r="E15" s="74"/>
      <c r="F15" s="73" t="str">
        <v>由于产品本身专利或知识产权问题产生扣关，货物退回等后续问题由客户承担，我司保留追究的权力。</v>
      </c>
      <c r="G15" s="71"/>
      <c r="H15" s="71"/>
      <c r="I15" s="74"/>
    </row>
    <row customHeight="true" ht="53" r="16">
      <c r="A16" s="73" t="str">
        <v>木制品、蓝牙产品、激光类产品、UL产品</v>
      </c>
      <c r="B16" s="71"/>
      <c r="C16" s="73" t="str">
        <v>+1/KG</v>
      </c>
      <c r="D16" s="71"/>
      <c r="E16" s="74"/>
      <c r="F16" s="73" t="str">
        <v>FDA类产品，海关可能会查验。由于客户提供错误的FDA ID. 产生扣关，关税，货物退回等后续问题由客户承担，我司并保留追究的权力</v>
      </c>
      <c r="G16" s="71"/>
      <c r="H16" s="71"/>
      <c r="I16" s="74"/>
    </row>
    <row customHeight="true" ht="50" r="17">
      <c r="A17" s="73" t="str">
        <v>化工品（指甲胶、精油、口红、眼影，卸妆水、洗发水等）</v>
      </c>
      <c r="B17" s="71"/>
      <c r="C17" s="73" t="str">
        <v>+2/KG</v>
      </c>
      <c r="D17" s="71"/>
      <c r="E17" s="74"/>
      <c r="F17" s="73" t="str">
        <v>提供真实有效期内商检、MSDS认证视为普货，无需附加费（证书是否有效以相关部门是否认可为准）</v>
      </c>
      <c r="G17" s="71"/>
      <c r="H17" s="71"/>
      <c r="I17" s="74"/>
    </row>
    <row customHeight="true" ht="45" r="18">
      <c r="A18" s="73" t="str">
        <v>国内贴标费</v>
      </c>
      <c r="B18" s="71"/>
      <c r="C18" s="73" t="str">
        <v>1元/张</v>
      </c>
      <c r="D18" s="71"/>
      <c r="E18" s="74"/>
      <c r="F18" s="73" t="str">
        <v>为了准确快捷入库，请尽量配合贴好入仓标签/FBA标签/SKU标签等，因未贴标签或未及时告知导致仓库未能及时入库延误船期的我司概不负责</v>
      </c>
      <c r="G18" s="71"/>
      <c r="H18" s="71"/>
      <c r="I18" s="74"/>
      <c r="J18" s="92"/>
      <c r="K18" s="92"/>
      <c r="L18" s="92"/>
      <c r="M18" s="92"/>
      <c r="N18" s="92"/>
      <c r="O18" s="92"/>
      <c r="P18" s="92"/>
      <c r="Q18" s="92"/>
      <c r="R18" s="92"/>
      <c r="S18" s="92"/>
      <c r="T18" s="92"/>
    </row>
    <row customHeight="true" ht="32" r="19">
      <c r="A19" s="248" t="str">
        <v>优势:自主装柜，海运市场优质后端，信誉清关行，快捷海外转运派送。</v>
      </c>
      <c r="B19" s="246"/>
      <c r="C19" s="246"/>
      <c r="D19" s="246"/>
      <c r="E19" s="246"/>
      <c r="F19" s="246"/>
      <c r="G19" s="246"/>
      <c r="H19" s="246"/>
      <c r="I19" s="247"/>
    </row>
    <row customHeight="true" ht="32" r="20">
      <c r="A20" s="248" t="str">
        <v>注明：每周报价表为实时报价，不可控因素或市场变化调节过大时，升或降以到仓价格为准。</v>
      </c>
      <c r="B20" s="246"/>
      <c r="C20" s="246"/>
      <c r="D20" s="246"/>
      <c r="E20" s="246"/>
      <c r="F20" s="246"/>
      <c r="G20" s="246"/>
      <c r="H20" s="246"/>
      <c r="I20" s="247"/>
    </row>
    <row customHeight="true" ht="32" r="21">
      <c r="A21" s="248" t="str">
        <v>包税附加费，未列明产品请跟业务联系</v>
      </c>
      <c r="B21" s="246"/>
      <c r="C21" s="246"/>
      <c r="D21" s="246"/>
      <c r="E21" s="246"/>
      <c r="F21" s="246"/>
      <c r="G21" s="246"/>
      <c r="H21" s="246"/>
      <c r="I21" s="247"/>
    </row>
    <row customHeight="true" ht="47" r="22">
      <c r="A22" s="73" t="str">
        <v>单证报关250/票，单票超5个品名以上+50RMB/个
卡派超限附加费：最长边不可超过120CM,次长边不可超过100CM，超长附加单价*1.1倍计算。单箱实重超过30KG单询</v>
      </c>
      <c r="B22" s="71"/>
      <c r="C22" s="71"/>
      <c r="D22" s="71"/>
      <c r="E22" s="71"/>
      <c r="F22" s="71"/>
      <c r="G22" s="71"/>
      <c r="H22" s="71"/>
      <c r="I22" s="74"/>
      <c r="J22" s="92"/>
      <c r="K22" s="92"/>
      <c r="L22" s="92"/>
      <c r="M22" s="92"/>
      <c r="N22" s="92"/>
      <c r="O22" s="92"/>
      <c r="P22" s="92"/>
      <c r="Q22" s="92"/>
      <c r="R22" s="92"/>
      <c r="S22" s="92"/>
      <c r="T22" s="92"/>
    </row>
    <row customHeight="true" ht="69" r="23">
      <c r="A23" s="72" t="str">
        <v>温馨提示：请按我司提供的样板提供电子版发票和装箱单如实申报，如因申报品名/申报数量/申报单价/申报材质/申报HS等不符造成的清关问题，我司概不负责
（清关延误不算在正常派送日内）</v>
      </c>
      <c r="B23" s="72"/>
      <c r="C23" s="72"/>
      <c r="D23" s="72"/>
      <c r="E23" s="72"/>
      <c r="F23" s="72"/>
      <c r="G23" s="72"/>
      <c r="H23" s="72"/>
      <c r="I23" s="72"/>
      <c r="J23" s="92"/>
      <c r="K23" s="92"/>
      <c r="L23" s="92"/>
      <c r="M23" s="92"/>
      <c r="N23" s="92"/>
      <c r="O23" s="92"/>
      <c r="P23" s="92"/>
      <c r="Q23" s="92"/>
      <c r="R23" s="92"/>
      <c r="S23" s="92"/>
      <c r="T23" s="92"/>
    </row>
  </sheetData>
  <mergeCells>
    <mergeCell ref="A1:D1"/>
    <mergeCell ref="A2:D2"/>
    <mergeCell ref="F2:I2"/>
    <mergeCell ref="A3:D3"/>
    <mergeCell ref="F3:I3"/>
    <mergeCell ref="B4:C4"/>
    <mergeCell ref="G4:H4"/>
    <mergeCell ref="A11:D11"/>
    <mergeCell ref="F11:I11"/>
    <mergeCell ref="A12:D12"/>
    <mergeCell ref="F12:I12"/>
    <mergeCell ref="A13:I13"/>
    <mergeCell ref="A14:B14"/>
    <mergeCell ref="C14:E14"/>
    <mergeCell ref="F14:I14"/>
    <mergeCell ref="A15:B15"/>
    <mergeCell ref="C15:E15"/>
    <mergeCell ref="F15:I15"/>
    <mergeCell ref="A16:B16"/>
    <mergeCell ref="C16:E16"/>
    <mergeCell ref="F16:I16"/>
    <mergeCell ref="A17:B17"/>
    <mergeCell ref="C17:E17"/>
    <mergeCell ref="F17:I17"/>
    <mergeCell ref="A18:B18"/>
    <mergeCell ref="C18:E18"/>
    <mergeCell ref="F18:I18"/>
    <mergeCell ref="A19:I19"/>
    <mergeCell ref="A20:I20"/>
    <mergeCell ref="A21:I21"/>
    <mergeCell ref="A22:I22"/>
    <mergeCell ref="A23:I23"/>
    <mergeCell ref="A5:A6"/>
    <mergeCell ref="B5:B6"/>
    <mergeCell ref="C5:C6"/>
    <mergeCell ref="D5:D6"/>
    <mergeCell ref="F5:F6"/>
    <mergeCell ref="G5:G6"/>
    <mergeCell ref="H5:H6"/>
    <mergeCell ref="I5:I6"/>
  </mergeCells>
  <drawing r:id="rId1"/>
  <picture r:id="rId2"/>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C5DEB5"/>
    <outlinePr summaryBelow="false" summaryRight="false"/>
  </sheetPr>
  <dimension ref="A1"/>
  <sheetViews>
    <sheetView showGridLines="true" workbookViewId="0"/>
  </sheetViews>
  <sheetFormatPr defaultColWidth="14" defaultRowHeight="19"/>
  <cols>
    <col collapsed="false" customWidth="true" hidden="false" max="1" min="1" style="0" width="40"/>
    <col collapsed="false" customWidth="true" hidden="false" max="2" min="2" style="0" width="20"/>
    <col collapsed="false" customWidth="true" hidden="false" max="3" min="3" style="0" width="20"/>
    <col collapsed="false" customWidth="true" hidden="false" max="4" min="4" style="0" width="20"/>
    <col collapsed="false" customWidth="true" hidden="false" max="5" min="5" style="0" width="3"/>
    <col collapsed="false" customWidth="true" hidden="false" max="6" min="6" style="0" width="46"/>
    <col collapsed="false" customWidth="true" hidden="false" max="7" min="7" style="0" width="20"/>
    <col collapsed="false" customWidth="true" hidden="false" max="8" min="8" style="0" width="20"/>
    <col collapsed="false" customWidth="true" hidden="false" max="9" min="9" style="0" width="2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33" r="1">
      <c r="A1" s="92"/>
      <c r="B1" s="274"/>
      <c r="C1" s="274"/>
      <c r="D1" s="274"/>
      <c r="E1" s="269"/>
      <c r="F1" s="269"/>
      <c r="G1" s="269"/>
      <c r="H1" s="269"/>
      <c r="I1" s="269"/>
      <c r="J1" s="269"/>
      <c r="K1" s="269"/>
      <c r="L1" s="269"/>
      <c r="M1" s="269"/>
      <c r="N1" s="269"/>
      <c r="O1" s="269"/>
      <c r="P1" s="269"/>
      <c r="Q1" s="269"/>
      <c r="R1" s="269"/>
      <c r="S1" s="269"/>
      <c r="T1" s="269"/>
    </row>
    <row customHeight="true" ht="46" r="2">
      <c r="A2" s="228" t="str">
        <v>萨凡纳888</v>
      </c>
      <c r="B2" s="228"/>
      <c r="C2" s="228"/>
      <c r="D2" s="228"/>
      <c r="E2" s="109"/>
      <c r="F2" s="228" t="str">
        <v>纽约960</v>
      </c>
      <c r="G2" s="228"/>
      <c r="H2" s="228"/>
      <c r="I2" s="228"/>
      <c r="J2" s="92"/>
      <c r="K2" s="269"/>
      <c r="L2" s="269"/>
      <c r="M2" s="269"/>
      <c r="N2" s="269"/>
      <c r="O2" s="92"/>
      <c r="P2" s="92"/>
      <c r="Q2" s="269"/>
      <c r="R2" s="269"/>
      <c r="S2" s="269"/>
      <c r="T2" s="269"/>
    </row>
    <row customHeight="true" ht="46" r="3">
      <c r="A3" s="225" t="str">
        <v>卡派包税</v>
      </c>
      <c r="B3" s="225"/>
      <c r="C3" s="225"/>
      <c r="D3" s="225"/>
      <c r="E3" s="109"/>
      <c r="F3" s="208" t="str">
        <v>卡派包税</v>
      </c>
      <c r="G3" s="208"/>
      <c r="H3" s="208"/>
      <c r="I3" s="208"/>
      <c r="J3" s="269"/>
      <c r="K3" s="269"/>
      <c r="L3" s="269"/>
      <c r="M3" s="269"/>
      <c r="N3" s="269"/>
      <c r="O3" s="92"/>
      <c r="P3" s="269"/>
      <c r="Q3" s="269"/>
      <c r="R3" s="269"/>
      <c r="S3" s="269"/>
      <c r="T3" s="269"/>
    </row>
    <row customHeight="true" ht="36" r="4">
      <c r="A4" s="276"/>
      <c r="B4" s="218" t="str">
        <v>珠三角/汕头/义乌交货价</v>
      </c>
      <c r="C4" s="219"/>
      <c r="D4" s="276"/>
      <c r="E4" s="109"/>
      <c r="F4" s="276"/>
      <c r="G4" s="218" t="str">
        <v>珠三角/汕头/义乌交货价</v>
      </c>
      <c r="H4" s="219"/>
      <c r="I4" s="276"/>
      <c r="J4" s="92"/>
      <c r="K4" s="269"/>
      <c r="L4" s="269"/>
      <c r="M4" s="269"/>
      <c r="N4" s="269"/>
      <c r="O4" s="92"/>
      <c r="P4" s="92"/>
      <c r="Q4" s="269"/>
      <c r="R4" s="269"/>
      <c r="S4" s="269"/>
      <c r="T4" s="269"/>
    </row>
    <row customHeight="true" ht="24" r="5">
      <c r="A5" s="214" t="s">
        <v>17</v>
      </c>
      <c r="B5" s="211" t="str">
        <v>8kg+</v>
      </c>
      <c r="C5" s="212" t="str">
        <v>101KG+</v>
      </c>
      <c r="D5" s="213" t="str">
        <v>参考时效（开船后）</v>
      </c>
      <c r="E5" s="109"/>
      <c r="F5" s="214" t="s">
        <v>23</v>
      </c>
      <c r="G5" s="211" t="str">
        <v>8kg+</v>
      </c>
      <c r="H5" s="212" t="str">
        <v>101KG+</v>
      </c>
      <c r="I5" s="211" t="str">
        <v>参考签收时效
（开船后）</v>
      </c>
    </row>
    <row customHeight="true" ht="30" r="6">
      <c r="A6" s="232"/>
      <c r="B6" s="211"/>
      <c r="C6" s="212"/>
      <c r="D6" s="213"/>
      <c r="E6" s="109"/>
      <c r="F6" s="232" t="str">
        <v>ABE8,TEB6,TEB9,ABE2,ABE3,ABE4,TEB3,TEB4,ACY2</v>
      </c>
      <c r="G6" s="211"/>
      <c r="H6" s="212"/>
      <c r="I6" s="211" t="str">
        <v>26-32个工作日</v>
      </c>
    </row>
    <row customHeight="true" ht="59" r="7">
      <c r="A7" s="106" t="str">
        <v>SAV3,JAX3,XLX6,GSP1,GSO1,IUSR,CAE1</v>
      </c>
      <c r="B7" s="113">
        <v>6.1</v>
      </c>
      <c r="C7" s="113">
        <v>5.9</v>
      </c>
      <c r="D7" s="215" t="str">
        <v>37-47个自然日</v>
      </c>
      <c r="E7" s="109"/>
      <c r="F7" s="106" t="str">
        <v>ABE8,ACY2,TEB6,TEB9,TTN2,TEB3,TEB4,XEW5</v>
      </c>
      <c r="G7" s="24">
        <v>5.7</v>
      </c>
      <c r="H7" s="24">
        <v>5.5</v>
      </c>
      <c r="I7" s="24" t="str">
        <v>40-47个自然日</v>
      </c>
    </row>
    <row customHeight="true" ht="48" r="8">
      <c r="A8" s="126" t="str">
        <v>MGE1,MGE3,RYY2,CLT2,CLT3,RDU2,RDU4</v>
      </c>
      <c r="B8" s="212">
        <v>6.1</v>
      </c>
      <c r="C8" s="212">
        <v>5.9</v>
      </c>
      <c r="D8" s="236" t="str">
        <v>37-47个自然日</v>
      </c>
      <c r="E8" s="109"/>
      <c r="F8" s="126" t="str">
        <v>ABE3,ABE4,AVP1,AVP3,AVP9,WBW2,HEA2</v>
      </c>
      <c r="G8" s="102">
        <v>5.9</v>
      </c>
      <c r="H8" s="102">
        <v>5.7</v>
      </c>
      <c r="I8" s="102" t="str">
        <v>42-50个自然日</v>
      </c>
    </row>
    <row customHeight="true" ht="48" r="9">
      <c r="A9" s="106" t="str">
        <v>MCO1,MCO2,TPA2,TPA3,TPA6</v>
      </c>
      <c r="B9" s="113">
        <v>6.4</v>
      </c>
      <c r="C9" s="113">
        <v>6.2</v>
      </c>
      <c r="D9" s="215" t="str">
        <v>40-50个自然日</v>
      </c>
      <c r="E9" s="109"/>
      <c r="F9" s="106" t="str">
        <v>HIA1,PHL4,PHL5,PHL6,MDT1,MDT4,PIT2,LBE1,ALB1,SWF1,SWF2</v>
      </c>
      <c r="G9" s="24">
        <v>6</v>
      </c>
      <c r="H9" s="24">
        <v>5.8</v>
      </c>
      <c r="I9" s="24" t="str">
        <v>42-50个自然日</v>
      </c>
    </row>
    <row customHeight="true" ht="45" r="10">
      <c r="A10" s="126" t="str">
        <v>TMB8,PBI2,PBI3,XPB2</v>
      </c>
      <c r="B10" s="212">
        <v>6.4</v>
      </c>
      <c r="C10" s="212">
        <v>6.2</v>
      </c>
      <c r="D10" s="236" t="str">
        <v>40-50个自然日</v>
      </c>
      <c r="E10" s="109"/>
      <c r="F10" s="126" t="str">
        <v>IUSL,MDT2,ILG1,DCA6,BWI1,HGR2,XLX1,HGR6</v>
      </c>
      <c r="G10" s="102">
        <v>6.2</v>
      </c>
      <c r="H10" s="102">
        <v>6</v>
      </c>
      <c r="I10" s="102" t="str">
        <v>45-55个自然日</v>
      </c>
    </row>
    <row customHeight="true" ht="45" r="11">
      <c r="A11" s="106" t="str">
        <v>BNA2,BNA6,CHA2</v>
      </c>
      <c r="B11" s="113">
        <v>6.7</v>
      </c>
      <c r="C11" s="113">
        <v>6.5</v>
      </c>
      <c r="D11" s="215" t="str">
        <v>42-52个自然日</v>
      </c>
      <c r="E11" s="109"/>
      <c r="F11" s="106" t="str">
        <v>BDL6,BOS7,BWI4,CHO1,RIC1,RIC3,XRI3,ORF2,RMN3</v>
      </c>
      <c r="G11" s="24">
        <v>6.4</v>
      </c>
      <c r="H11" s="24">
        <v>6.2</v>
      </c>
      <c r="I11" s="24" t="str">
        <v>45-55个自然日</v>
      </c>
    </row>
    <row customHeight="true" ht="76" r="12">
      <c r="A12" s="126" t="str">
        <v>HSV1,HSV2,MEM1</v>
      </c>
      <c r="B12" s="212">
        <v>6.7</v>
      </c>
      <c r="C12" s="212">
        <v>6.5</v>
      </c>
      <c r="D12" s="236" t="str">
        <v>42-52个自然日</v>
      </c>
      <c r="E12" s="109"/>
      <c r="F12" s="126" t="str">
        <v>CLT6,AKR1,SDF4,SDF8,DTW3,MEM6,IND2,IND4,IND5,IND9,MQJ1,MQJ2,FWA4,DET1,DET2,DTW3,LAN2,CMH2,CMH6,CMH7,CMH3</v>
      </c>
      <c r="G12" s="102">
        <v>6.7</v>
      </c>
      <c r="H12" s="102">
        <v>6.5</v>
      </c>
      <c r="I12" s="102" t="str">
        <v>45-55个自然日</v>
      </c>
    </row>
    <row customHeight="true" ht="42" r="13">
      <c r="A13" s="155" t="str">
        <v>其他未开放卡派仓单询</v>
      </c>
      <c r="B13" s="275"/>
      <c r="C13" s="275"/>
      <c r="D13" s="245"/>
      <c r="E13" s="109"/>
      <c r="F13" s="155" t="str">
        <v>其他未开放卡派仓单询</v>
      </c>
      <c r="G13" s="275"/>
      <c r="H13" s="275"/>
      <c r="I13" s="245"/>
    </row>
    <row customHeight="true" ht="42" r="14">
      <c r="A14" s="271" t="str">
        <v>选用COSCO/OOCL/EMC等船公司航线服务，直达萨凡纳港口
预计开船后888小时提取，助力卖家安心长期备货</v>
      </c>
      <c r="B14" s="272"/>
      <c r="C14" s="272"/>
      <c r="D14" s="273"/>
      <c r="E14" s="109"/>
      <c r="F14" s="270" t="str">
        <v>选用ZIM/COSCO/EMC美东航线，从盐田出发到达纽约港，最快960小时送仓，美东仓库低价首选，大幅降低卖家美东物流成本</v>
      </c>
      <c r="G14" s="270"/>
      <c r="H14" s="270"/>
      <c r="I14" s="270"/>
    </row>
    <row customHeight="true" ht="70" r="15">
      <c r="A15" s="189" t="str">
        <v>自2025年5月12日起
符合美国清关第232条款的钢铁制品、铝制品关税附加费加收0.5元/KG；</v>
      </c>
      <c r="B15" s="189"/>
      <c r="C15" s="189"/>
      <c r="D15" s="189"/>
      <c r="E15" s="190"/>
      <c r="F15" s="190"/>
      <c r="G15" s="190"/>
      <c r="H15" s="190"/>
      <c r="I15" s="190"/>
    </row>
    <row customHeight="true" ht="43" r="16">
      <c r="A16" s="278" t="str">
        <v>需加收产品及杂费</v>
      </c>
      <c r="B16" s="278"/>
      <c r="C16" s="183" t="str">
        <v>加收金额</v>
      </c>
      <c r="D16" s="240"/>
      <c r="E16" s="277" t="str">
        <v>备注</v>
      </c>
      <c r="F16" s="277"/>
      <c r="G16" s="277"/>
      <c r="H16" s="277"/>
      <c r="I16" s="277"/>
    </row>
    <row customHeight="true" ht="36" r="17">
      <c r="A17" s="72" t="str">
        <v>除高价值，高关税产品，其余普通产品无附加费</v>
      </c>
      <c r="B17" s="72"/>
      <c r="C17" s="73" t="str">
        <v>无附加费</v>
      </c>
      <c r="D17" s="74"/>
      <c r="E17" s="73" t="str">
        <v>由于产品本身专利或知识产权问题产生扣关，货物退回等后续问题由客户承担，我司保留追究的权力。</v>
      </c>
      <c r="F17" s="71"/>
      <c r="G17" s="71"/>
      <c r="H17" s="71"/>
      <c r="I17" s="74"/>
    </row>
    <row customHeight="true" ht="53" r="18">
      <c r="A18" s="72" t="str">
        <v>木制品、蓝牙产品、激光类产品、UL产品</v>
      </c>
      <c r="B18" s="72"/>
      <c r="C18" s="73" t="str">
        <v>+1/KG</v>
      </c>
      <c r="D18" s="74"/>
      <c r="E18" s="73" t="str">
        <v>FDA类产品，海关可能会查验。由于客户提供错误的FDA ID. 产生扣关，关税，货物退回等后续问题由客户承担，我司并保留追究的权力</v>
      </c>
      <c r="F18" s="71"/>
      <c r="G18" s="71"/>
      <c r="H18" s="71"/>
      <c r="I18" s="74"/>
    </row>
    <row customHeight="true" ht="50" r="19">
      <c r="A19" s="72" t="str">
        <v>化工品（指甲胶、精油、口红、眼影，卸妆水、洗发水等）</v>
      </c>
      <c r="B19" s="72"/>
      <c r="C19" s="73" t="str">
        <v>+2/KG</v>
      </c>
      <c r="D19" s="74"/>
      <c r="E19" s="73" t="str">
        <v>提供真实有效期内商检、MSDS认证视为普货，无需附加费（证书是否有效以相关部门是否认可为准）</v>
      </c>
      <c r="F19" s="71"/>
      <c r="G19" s="71"/>
      <c r="H19" s="71"/>
      <c r="I19" s="74"/>
    </row>
    <row customHeight="true" ht="45" r="20">
      <c r="A20" s="72" t="str">
        <v>国内贴标费</v>
      </c>
      <c r="B20" s="72"/>
      <c r="C20" s="73" t="str">
        <v>1元/张</v>
      </c>
      <c r="D20" s="74"/>
      <c r="E20" s="73" t="str">
        <v>为了准确快捷入库，请尽量配合贴好入仓标签/FBA标签/SKU标签等，因未贴标签或未及时告知导致仓库未能及时入库延误船期的我司概不负责</v>
      </c>
      <c r="F20" s="71"/>
      <c r="G20" s="71"/>
      <c r="H20" s="71"/>
      <c r="I20" s="74"/>
      <c r="J20" s="92"/>
      <c r="K20" s="92"/>
      <c r="L20" s="92"/>
      <c r="M20" s="92"/>
      <c r="N20" s="92"/>
      <c r="O20" s="92"/>
      <c r="P20" s="92"/>
      <c r="Q20" s="92"/>
      <c r="R20" s="92"/>
      <c r="S20" s="92"/>
      <c r="T20" s="92"/>
    </row>
    <row customHeight="true" ht="32" r="21">
      <c r="A21" s="191" t="str">
        <v>优势:自主装柜，海运市场优质后端，信誉清关行，快捷海外转运派送。</v>
      </c>
      <c r="B21" s="191"/>
      <c r="C21" s="191"/>
      <c r="D21" s="191"/>
      <c r="E21" s="191"/>
      <c r="F21" s="191"/>
      <c r="G21" s="191"/>
      <c r="H21" s="191"/>
      <c r="I21" s="191"/>
    </row>
    <row customHeight="true" ht="32" r="22">
      <c r="A22" s="191" t="str">
        <v>注明：每周报价表为实时报价，不可控因素或市场变化调节过大时，升或降以到仓价格为准。</v>
      </c>
      <c r="B22" s="191"/>
      <c r="C22" s="191"/>
      <c r="D22" s="191"/>
      <c r="E22" s="191"/>
      <c r="F22" s="191"/>
      <c r="G22" s="191"/>
      <c r="H22" s="191"/>
      <c r="I22" s="191"/>
    </row>
    <row customHeight="true" ht="32" r="23">
      <c r="A23" s="191" t="str">
        <v>包税附加费，未列明产品请跟业务联系</v>
      </c>
      <c r="B23" s="191"/>
      <c r="C23" s="191"/>
      <c r="D23" s="191"/>
      <c r="E23" s="191"/>
      <c r="F23" s="191"/>
      <c r="G23" s="191"/>
      <c r="H23" s="191"/>
      <c r="I23" s="191"/>
    </row>
    <row customHeight="true" ht="52" r="24">
      <c r="A24" s="72" t="str">
        <v>单证报关250/票，单票超5个品名以上+50RMB/个
卡派超限附加费：最长边不可超过120CM,次长边不可超过100CM，超长附加单价*1.1倍计算。单箱实重超过30KG单询</v>
      </c>
      <c r="B24" s="72"/>
      <c r="C24" s="72"/>
      <c r="D24" s="72"/>
      <c r="E24" s="72"/>
      <c r="F24" s="72"/>
      <c r="G24" s="72"/>
      <c r="H24" s="72"/>
      <c r="I24" s="72"/>
      <c r="J24" s="92"/>
      <c r="K24" s="92"/>
      <c r="L24" s="92"/>
      <c r="M24" s="92"/>
      <c r="N24" s="92"/>
      <c r="O24" s="92"/>
      <c r="P24" s="92"/>
      <c r="Q24" s="92"/>
      <c r="R24" s="92"/>
      <c r="S24" s="92"/>
      <c r="T24" s="92"/>
    </row>
    <row customHeight="true" ht="69" r="25">
      <c r="A25" s="72" t="str">
        <v>温馨提示：请按我司提供的样板提供电子版发票和装箱单如实申报，如因申报品名/申报数量/申报单价/申报材质/申报HS等不符造成的清关问题，我司概不负责
（清关延误不算在正常派送日内）</v>
      </c>
      <c r="B25" s="72"/>
      <c r="C25" s="72"/>
      <c r="D25" s="72"/>
      <c r="E25" s="72"/>
      <c r="F25" s="72"/>
      <c r="G25" s="72"/>
      <c r="H25" s="72"/>
      <c r="I25" s="72"/>
      <c r="J25" s="92"/>
      <c r="K25" s="92"/>
      <c r="L25" s="92"/>
      <c r="M25" s="92"/>
      <c r="N25" s="92"/>
      <c r="O25" s="92"/>
      <c r="P25" s="92"/>
      <c r="Q25" s="92"/>
      <c r="R25" s="92"/>
      <c r="S25" s="92"/>
      <c r="T25" s="92"/>
    </row>
  </sheetData>
  <mergeCells>
    <mergeCell ref="A2:D2"/>
    <mergeCell ref="F2:I2"/>
    <mergeCell ref="A3:D3"/>
    <mergeCell ref="F3:I3"/>
    <mergeCell ref="B4:C4"/>
    <mergeCell ref="G4:H4"/>
    <mergeCell ref="A13:D13"/>
    <mergeCell ref="F13:I13"/>
    <mergeCell ref="A14:D14"/>
    <mergeCell ref="F14:I14"/>
    <mergeCell ref="A15:I15"/>
    <mergeCell ref="A16:B16"/>
    <mergeCell ref="C16:D16"/>
    <mergeCell ref="E16:I16"/>
    <mergeCell ref="A17:B17"/>
    <mergeCell ref="C17:D17"/>
    <mergeCell ref="E17:I17"/>
    <mergeCell ref="A18:B18"/>
    <mergeCell ref="C18:D18"/>
    <mergeCell ref="E18:I18"/>
    <mergeCell ref="A19:B19"/>
    <mergeCell ref="C19:D19"/>
    <mergeCell ref="E19:I19"/>
    <mergeCell ref="A20:B20"/>
    <mergeCell ref="C20:D20"/>
    <mergeCell ref="E20:I20"/>
    <mergeCell ref="A21:I21"/>
    <mergeCell ref="A22:I22"/>
    <mergeCell ref="A23:I23"/>
    <mergeCell ref="A24:I24"/>
    <mergeCell ref="A25:I25"/>
    <mergeCell ref="A5:A6"/>
    <mergeCell ref="B5:B6"/>
    <mergeCell ref="C5:C6"/>
    <mergeCell ref="D5:D6"/>
    <mergeCell ref="E2:E14"/>
    <mergeCell ref="F5:F6"/>
    <mergeCell ref="G5:G6"/>
    <mergeCell ref="H5:H6"/>
    <mergeCell ref="I5:I6"/>
  </mergeCells>
  <drawing r:id="rId1"/>
  <picture r:id="rId2"/>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7030A0"/>
    <outlinePr summaryBelow="false" summaryRight="false"/>
  </sheetPr>
  <dimension ref="A1"/>
  <sheetViews>
    <sheetView showGridLines="true" workbookViewId="0"/>
  </sheetViews>
  <sheetFormatPr defaultColWidth="14" defaultRowHeight="19"/>
  <cols>
    <col collapsed="false" customWidth="true" hidden="false" max="1" min="1" style="0" width="68"/>
    <col collapsed="false" customWidth="true" hidden="false" max="2" min="2" style="0" width="31"/>
    <col collapsed="false" customWidth="true" hidden="false" max="3" min="3" style="0" width="31"/>
    <col collapsed="false" customWidth="true" hidden="false" max="4" min="4" style="0" width="31"/>
    <col collapsed="false" customWidth="true" hidden="false" max="5" min="5" style="0" width="11"/>
    <col collapsed="false" customWidth="true" hidden="false" max="6" min="6" style="0" width="10"/>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33" r="1"/>
    <row customHeight="true" ht="61" r="2">
      <c r="A2" s="279" t="str">
        <v>TY720-玩具专线</v>
      </c>
      <c r="B2" s="280"/>
      <c r="C2" s="280"/>
      <c r="D2" s="280"/>
    </row>
    <row customHeight="true" ht="38" r="3">
      <c r="A3" s="281"/>
      <c r="B3" s="218" t="str">
        <v>珠三角/汕头/义乌交货价</v>
      </c>
      <c r="C3" s="219"/>
      <c r="D3" s="276"/>
    </row>
    <row customHeight="true" ht="48" r="4">
      <c r="A4" s="282" t="s">
        <v>24</v>
      </c>
      <c r="B4" s="126" t="str">
        <v>8kg+</v>
      </c>
      <c r="C4" s="126" t="str">
        <v>101KG+</v>
      </c>
      <c r="D4" s="236" t="str">
        <v>参考时效（开船后）</v>
      </c>
    </row>
    <row customHeight="true" ht="26" r="5">
      <c r="A5" s="106" t="str">
        <v>ONT8,LAX9,LGB8,SBD1,JOT1,POC1,POC3,POC2</v>
      </c>
      <c r="B5" s="113">
        <v>4</v>
      </c>
      <c r="C5" s="113">
        <v>3.8</v>
      </c>
      <c r="D5" s="113" t="str">
        <v>22-32个自然日</v>
      </c>
    </row>
    <row customHeight="true" ht="26" r="6">
      <c r="A6" s="188" t="str">
        <v>IUSP,IUSQ,IUTI,IUSJ,IUSW,IUTF</v>
      </c>
      <c r="B6" s="222">
        <v>4.3</v>
      </c>
      <c r="C6" s="222">
        <v>4.1</v>
      </c>
      <c r="D6" s="222" t="str">
        <v>23-32个自然日</v>
      </c>
    </row>
    <row customHeight="true" ht="26" r="7">
      <c r="A7" s="106" t="str">
        <v>GYR3,GYR2,LAS1,VGT2,MIT2,GEU3,QXY5,GEU5,GEU2</v>
      </c>
      <c r="B7" s="113">
        <v>4.9</v>
      </c>
      <c r="C7" s="113">
        <v>4.7</v>
      </c>
      <c r="D7" s="113" t="str">
        <v>24-34个自然日</v>
      </c>
    </row>
    <row customHeight="true" ht="26" r="8">
      <c r="A8" s="188" t="str">
        <v>HLI2,TCY1,TCY2,SMF3,SCK4,SCK8,IUTE,MCC1</v>
      </c>
      <c r="B8" s="222">
        <v>5.3</v>
      </c>
      <c r="C8" s="222">
        <v>5.1</v>
      </c>
      <c r="D8" s="222" t="str">
        <v>24-34个自然日</v>
      </c>
    </row>
    <row customHeight="true" ht="26" r="9">
      <c r="A9" s="106" t="str">
        <v>AMA1,IAH3,SAT1,SAT4,DFW6,PSC2,ABQ2,RFD2,FTW1,FTW5</v>
      </c>
      <c r="B9" s="113">
        <v>7.1</v>
      </c>
      <c r="C9" s="113">
        <v>6.9</v>
      </c>
      <c r="D9" s="113" t="str">
        <v>28-37个自然日</v>
      </c>
    </row>
    <row customHeight="true" ht="26" r="10">
      <c r="A10" s="188" t="str">
        <v>MDW2,MQJ1,MEM1,FWA4,IND9</v>
      </c>
      <c r="B10" s="222">
        <v>7.4</v>
      </c>
      <c r="C10" s="222">
        <v>7.2</v>
      </c>
      <c r="D10" s="222" t="str">
        <v>28-38个自然日</v>
      </c>
    </row>
    <row customHeight="true" ht="38" r="11">
      <c r="A11" s="72" t="str">
        <v>选用COSCO/EMC/CMA/TSL/WHL/YML/ONE船司优质航线服务，交货10天内装柜进港 。玩具卖家备货首选渠道</v>
      </c>
      <c r="B11" s="72"/>
      <c r="C11" s="72"/>
      <c r="D11" s="72"/>
    </row>
    <row customHeight="true" ht="61" r="12">
      <c r="A12" s="279" t="str">
        <v>奥克兰744-玩具专线</v>
      </c>
      <c r="B12" s="280"/>
      <c r="C12" s="280"/>
      <c r="D12" s="280"/>
    </row>
    <row customHeight="true" ht="38" r="13">
      <c r="A13" s="281"/>
      <c r="B13" s="218" t="str">
        <v>珠三角/汕头/义乌交货价</v>
      </c>
      <c r="C13" s="219"/>
      <c r="D13" s="276"/>
    </row>
    <row customHeight="true" ht="48" r="14">
      <c r="A14" s="282" t="s">
        <v>24</v>
      </c>
      <c r="B14" s="126" t="str">
        <v>8kg+</v>
      </c>
      <c r="C14" s="126" t="str">
        <v>101KG+</v>
      </c>
      <c r="D14" s="236" t="str">
        <v>参考时效（开船后）</v>
      </c>
    </row>
    <row customHeight="true" ht="26" r="15">
      <c r="A15" s="104" t="str">
        <v>SCK4,SMF3,SCK1,SCK3,OAK3,SJC7</v>
      </c>
      <c r="B15" s="212">
        <v>5</v>
      </c>
      <c r="C15" s="212">
        <v>4.8</v>
      </c>
      <c r="D15" s="102" t="str">
        <v>26-34个自然日</v>
      </c>
    </row>
    <row customHeight="true" ht="26" r="16">
      <c r="A16" s="245" t="str">
        <v>TCY1,TCY2,SMF7,SCK8,MCE1,SMF6</v>
      </c>
      <c r="B16" s="113">
        <v>5.4</v>
      </c>
      <c r="C16" s="113">
        <v>5.2</v>
      </c>
      <c r="D16" s="24" t="str">
        <v>27-34个自然日</v>
      </c>
    </row>
    <row customHeight="true" ht="26" r="17">
      <c r="A17" s="237" t="str">
        <v>HLI2,FAT2,MCC1</v>
      </c>
      <c r="B17" s="222">
        <v>5.5</v>
      </c>
      <c r="C17" s="222">
        <v>5.3</v>
      </c>
      <c r="D17" s="187" t="str">
        <v>30-36个自然日</v>
      </c>
    </row>
    <row customHeight="true" ht="45" r="18">
      <c r="A18" s="72" t="str">
        <v>美西低价首选，直达奥克兰港口，
预计开船后744小时提取，助力卖家安心长期备货</v>
      </c>
      <c r="B18" s="72"/>
      <c r="C18" s="72"/>
      <c r="D18" s="72"/>
    </row>
    <row customHeight="true" ht="61" r="19">
      <c r="A19" s="279" t="str">
        <v>芝加哥840-玩具专线</v>
      </c>
      <c r="B19" s="280"/>
      <c r="C19" s="280"/>
      <c r="D19" s="280"/>
    </row>
    <row customHeight="true" ht="38" r="20">
      <c r="A20" s="281"/>
      <c r="B20" s="218" t="str">
        <v>珠三角/汕头/义乌交货价</v>
      </c>
      <c r="C20" s="219"/>
      <c r="D20" s="276"/>
    </row>
    <row customHeight="true" ht="48" r="21">
      <c r="A21" s="282" t="s">
        <v>24</v>
      </c>
      <c r="B21" s="126" t="str">
        <v>8kg+</v>
      </c>
      <c r="C21" s="126" t="str">
        <v>101KG+</v>
      </c>
      <c r="D21" s="236" t="str">
        <v>参考时效（开船后）</v>
      </c>
    </row>
    <row customHeight="true" ht="26" r="22">
      <c r="A22" s="106" t="str">
        <v>MDW2,ORD2,IGQ2,MDW9,RFD2,RFD4,JVL1,MDW6</v>
      </c>
      <c r="B22" s="113">
        <v>6.5</v>
      </c>
      <c r="C22" s="113">
        <v>6.3</v>
      </c>
      <c r="D22" s="24" t="str">
        <v>30-35个自然日</v>
      </c>
    </row>
    <row customHeight="true" ht="26" r="23">
      <c r="A23" s="188" t="str">
        <v>IND9,FWA4,MQJ1,MQJ2,STL4,IND2,IND4,IND5,PPO4</v>
      </c>
      <c r="B23" s="222">
        <v>6.9</v>
      </c>
      <c r="C23" s="222">
        <v>6.7</v>
      </c>
      <c r="D23" s="187" t="str">
        <v>33-42个自然日</v>
      </c>
    </row>
    <row customHeight="true" ht="26" r="24">
      <c r="A24" s="106" t="str">
        <v>DET1,DET2,LAN2,CMH2,CMH3,CMH7</v>
      </c>
      <c r="B24" s="113">
        <v>7.2</v>
      </c>
      <c r="C24" s="113">
        <v>7</v>
      </c>
      <c r="D24" s="24" t="str">
        <v>35-45个自然日</v>
      </c>
    </row>
    <row customHeight="true" ht="26" r="25">
      <c r="A25" s="188" t="str">
        <v>MKC4,MCI3,STL3</v>
      </c>
      <c r="B25" s="222">
        <v>7.7</v>
      </c>
      <c r="C25" s="222">
        <v>7.5</v>
      </c>
      <c r="D25" s="187" t="str">
        <v>38-45个自然日</v>
      </c>
    </row>
    <row customHeight="true" ht="42" r="26">
      <c r="A26" s="72" t="str">
        <v>盐田直达洛杉矶港后上火车中转到芝加哥站
预计开船后840小时提取，助力卖家安心长期备货</v>
      </c>
      <c r="B26" s="72"/>
      <c r="C26" s="72"/>
      <c r="D26" s="72"/>
    </row>
    <row customHeight="true" ht="61" r="27">
      <c r="A27" s="279" t="str">
        <v>休斯顿866-玩具专线</v>
      </c>
      <c r="B27" s="280"/>
      <c r="C27" s="280"/>
      <c r="D27" s="280"/>
    </row>
    <row customHeight="true" ht="38" r="28">
      <c r="A28" s="281"/>
      <c r="B28" s="218" t="str">
        <v>珠三角/汕头/义乌交货价</v>
      </c>
      <c r="C28" s="219"/>
      <c r="D28" s="276"/>
    </row>
    <row customHeight="true" ht="48" r="29">
      <c r="A29" s="282" t="s">
        <v>24</v>
      </c>
      <c r="B29" s="126" t="str">
        <v>8kg+</v>
      </c>
      <c r="C29" s="126" t="str">
        <v>101KG+</v>
      </c>
      <c r="D29" s="236" t="str">
        <v>参考时效（开船后）</v>
      </c>
    </row>
    <row customHeight="true" ht="26" r="30">
      <c r="A30" s="106" t="str">
        <v>HOU8,HOU7,HOU3,HOU2,HOU1,IAH3</v>
      </c>
      <c r="B30" s="113">
        <v>5.7</v>
      </c>
      <c r="C30" s="113">
        <v>5.5</v>
      </c>
      <c r="D30" s="24" t="str">
        <v>32-37个自然日</v>
      </c>
    </row>
    <row customHeight="true" ht="40" r="31">
      <c r="A31" s="188" t="str">
        <v>FTW9,FTW1,FTW5,FTW3,SAT1,FTW2,IUSF,DFW7,DFW6,DAL3,SAT6,SAT4,IUTH</v>
      </c>
      <c r="B31" s="222">
        <v>6.2</v>
      </c>
      <c r="C31" s="222">
        <v>6</v>
      </c>
      <c r="D31" s="187" t="str">
        <v>35-42个自然日</v>
      </c>
    </row>
    <row customHeight="true" ht="26" r="32">
      <c r="A32" s="106" t="str">
        <v>MEM6,LFT1,AMA1,OKC2,LIT2,ICT2,FOE1</v>
      </c>
      <c r="B32" s="113">
        <v>6.9</v>
      </c>
      <c r="C32" s="113">
        <v>6.7</v>
      </c>
      <c r="D32" s="24" t="str">
        <v>38-45个自然日</v>
      </c>
    </row>
    <row customHeight="true" ht="45" r="33">
      <c r="A33" s="72" t="str">
        <v>美西低价首选，盐田直达休斯顿港口，
预计开船后866小时提取，助力卖家安心长期备货</v>
      </c>
      <c r="B33" s="72"/>
      <c r="C33" s="72"/>
      <c r="D33" s="72"/>
    </row>
    <row customHeight="true" ht="61" r="34">
      <c r="A34" s="279" t="str">
        <v>萨凡纳888-玩具专线</v>
      </c>
      <c r="B34" s="280"/>
      <c r="C34" s="280"/>
      <c r="D34" s="280"/>
    </row>
    <row customHeight="true" ht="38" r="35">
      <c r="A35" s="281"/>
      <c r="B35" s="218" t="str">
        <v>珠三角/汕头/义乌交货价</v>
      </c>
      <c r="C35" s="219"/>
      <c r="D35" s="276"/>
    </row>
    <row customHeight="true" ht="48" r="36">
      <c r="A36" s="282" t="s">
        <v>24</v>
      </c>
      <c r="B36" s="126" t="str">
        <v>8kg+</v>
      </c>
      <c r="C36" s="126" t="str">
        <v>101KG+</v>
      </c>
      <c r="D36" s="236" t="str">
        <v>参考时效（开船后）</v>
      </c>
    </row>
    <row customHeight="true" ht="45" r="37">
      <c r="A37" s="106" t="str">
        <v>SAV3,JAX3,XLX6,GSP1,GSO1,IUSR,CAE1,MGE1,MGE3,RYY2,CLT2,CLT3,RDU2,RDU4,XAV3</v>
      </c>
      <c r="B37" s="113">
        <v>5.9</v>
      </c>
      <c r="C37" s="113">
        <v>5.7</v>
      </c>
      <c r="D37" s="215" t="str">
        <v>37-47个自然日</v>
      </c>
    </row>
    <row customHeight="true" ht="26" r="38">
      <c r="A38" s="126" t="str">
        <v>MCO1,MCO2,TPA2,TPA3,TPA6,TMB8,PBI2,PBI3,XPB2</v>
      </c>
      <c r="B38" s="283">
        <v>6.2</v>
      </c>
      <c r="C38" s="283">
        <v>6</v>
      </c>
      <c r="D38" s="236" t="str">
        <v>40-50个自然日</v>
      </c>
    </row>
    <row customHeight="true" ht="26" r="39">
      <c r="A39" s="285" t="str">
        <v>BNA2,BNA6,CHA2,HSV1,HSV2,MEM1</v>
      </c>
      <c r="B39" s="113">
        <v>6.5</v>
      </c>
      <c r="C39" s="113">
        <v>6.3</v>
      </c>
      <c r="D39" s="284" t="str">
        <v>42-52个自然日</v>
      </c>
    </row>
    <row customHeight="true" ht="48" r="40">
      <c r="A40" s="72" t="str">
        <v>选用ZIM/COSCO/EMC/WHL/MSC等船公司航线服务，直达萨凡纳港口
预计开船后888小时提取，助力卖家安心长期备货</v>
      </c>
      <c r="B40" s="72"/>
      <c r="C40" s="72"/>
      <c r="D40" s="72"/>
    </row>
    <row customHeight="true" ht="61" r="41">
      <c r="A41" s="279" t="str">
        <v>纽约960-玩具专线</v>
      </c>
      <c r="B41" s="280"/>
      <c r="C41" s="280"/>
      <c r="D41" s="280"/>
    </row>
    <row customHeight="true" ht="38" r="42">
      <c r="A42" s="281"/>
      <c r="B42" s="218" t="str">
        <v>珠三角/汕头/义乌交货价</v>
      </c>
      <c r="C42" s="219"/>
      <c r="D42" s="276"/>
    </row>
    <row customHeight="true" ht="48" r="43">
      <c r="A43" s="282" t="s">
        <v>24</v>
      </c>
      <c r="B43" s="126" t="str">
        <v>8kg+</v>
      </c>
      <c r="C43" s="126" t="str">
        <v>101KG+</v>
      </c>
      <c r="D43" s="236" t="s">
        <v>25</v>
      </c>
    </row>
    <row customHeight="true" ht="26" r="44">
      <c r="A44" s="106" t="str">
        <v>ABE8,ACY2,TEB6,TEB9,TTN2,TEB3,TEB4,XEW5</v>
      </c>
      <c r="B44" s="113">
        <v>5.5</v>
      </c>
      <c r="C44" s="113">
        <v>5.3</v>
      </c>
      <c r="D44" s="24" t="str">
        <v>40-47个自然日</v>
      </c>
    </row>
    <row customHeight="true" ht="26" r="45">
      <c r="A45" s="126" t="str">
        <v>ABE3,ABE4,AVP1,AVP3,AVP9,WBW2,HEA2</v>
      </c>
      <c r="B45" s="283">
        <v>5.7</v>
      </c>
      <c r="C45" s="283">
        <v>5.5</v>
      </c>
      <c r="D45" s="102" t="str">
        <v>42-50个自然日</v>
      </c>
    </row>
    <row customHeight="true" ht="42" r="46">
      <c r="A46" s="106" t="str">
        <v>HIA1,PHL4,PHL5,PHL6,MDT1,MDT4,PIT2,LBE1,ALB1,SWF1,SWF2</v>
      </c>
      <c r="B46" s="113">
        <v>5.8</v>
      </c>
      <c r="C46" s="113">
        <v>5.6</v>
      </c>
      <c r="D46" s="24" t="str">
        <v>42-50个自然日</v>
      </c>
    </row>
    <row customHeight="true" ht="26" r="47">
      <c r="A47" s="126" t="str">
        <v>IUSL,MDT2,ILG1,DCA6,BWI1,HGR2,XLX1,HGR6</v>
      </c>
      <c r="B47" s="283">
        <v>6</v>
      </c>
      <c r="C47" s="283">
        <v>5.8</v>
      </c>
      <c r="D47" s="102" t="str">
        <v>45-55个自然日</v>
      </c>
    </row>
    <row customHeight="true" ht="26" r="48">
      <c r="A48" s="106" t="str">
        <v>BDL6,BOS7,BWI4,CHO1,RIC1,RIC3,XRI3,ORF2,RMN3</v>
      </c>
      <c r="B48" s="113">
        <v>6.2</v>
      </c>
      <c r="C48" s="113">
        <v>6</v>
      </c>
      <c r="D48" s="24" t="str">
        <v>45-55个自然日</v>
      </c>
    </row>
    <row customHeight="true" ht="61" r="49">
      <c r="A49" s="126" t="str">
        <v>CLT6,AKR1,SDF4,SDF8,DTW3,MEM6,IND2,IND4,IND5,IND9,MQJ1,MQJ2,FWA4,DET1,DET2,DTW3,LAN2,CMH2,CMH6,CMH7,CMH3</v>
      </c>
      <c r="B49" s="283">
        <v>6.5</v>
      </c>
      <c r="C49" s="283">
        <v>6.3</v>
      </c>
      <c r="D49" s="102" t="str">
        <v>45-55个自然日</v>
      </c>
    </row>
    <row customHeight="true" ht="42" r="50">
      <c r="A50" s="72" t="str">
        <v>选用ZIM/COSCO/EMC/WHL/MSC美东航线，从盐田出发到达纽约港，最快960小时送仓，美东仓库低价首选，大幅降低卖家美东物流成本</v>
      </c>
      <c r="B50" s="72"/>
      <c r="C50" s="72"/>
      <c r="D50" s="72"/>
    </row>
    <row customHeight="true" ht="36" r="51">
      <c r="A51" s="286" t="str">
        <v>出运产品必须CPC、CPSC认证资质，认证是否有效以美国当地海关判定为准</v>
      </c>
      <c r="B51" s="286"/>
      <c r="C51" s="286"/>
      <c r="D51" s="286"/>
    </row>
    <row customHeight="true" ht="38" r="52">
      <c r="A52" s="184" t="str">
        <v>需加收产品及杂费</v>
      </c>
      <c r="B52" s="184" t="str">
        <v>加收金额</v>
      </c>
      <c r="C52" s="263" t="str">
        <v>备注</v>
      </c>
      <c r="D52" s="287"/>
    </row>
    <row customHeight="true" ht="53" r="53">
      <c r="A53" s="72" t="str">
        <v>除高价值，高关税产品，其余普通产品无附加费</v>
      </c>
      <c r="B53" s="72" t="str">
        <v>无附加费</v>
      </c>
      <c r="C53" s="73" t="str">
        <v>由于产品本身专利或知识产权问题产生扣关，货物退回等后续问题由客户承担，我司保留追究的权力。</v>
      </c>
      <c r="D53" s="74"/>
    </row>
    <row customHeight="true" ht="69" r="54">
      <c r="A54" s="72" t="str">
        <v>木制品、蓝牙产品、激光类产品、UL产品</v>
      </c>
      <c r="B54" s="72" t="str">
        <v>+1/KG</v>
      </c>
      <c r="C54" s="73" t="str">
        <v>FDA类产品，海关可能会查验。由于客户提供错误的FDA ID. 产生扣关，关税，货物退回等后续问题由客户承担，我司并保留追究的权力</v>
      </c>
      <c r="D54" s="74"/>
    </row>
    <row customHeight="true" ht="59" r="55">
      <c r="A55" s="72" t="str">
        <v>化工品（指甲胶、精油、口红、眼影，卸妆水、洗发水等）</v>
      </c>
      <c r="B55" s="72" t="str">
        <v>+2/KG</v>
      </c>
      <c r="C55" s="73" t="str">
        <v>提供真实有效期内商检、MSDS认证视为普货，无需附加费（证书是否有效以相关部门是否认可为准）</v>
      </c>
      <c r="D55" s="74"/>
    </row>
    <row customHeight="true" ht="65" r="56">
      <c r="A56" s="72" t="str">
        <v>国内贴标费</v>
      </c>
      <c r="B56" s="72" t="str">
        <v>1元/张</v>
      </c>
      <c r="C56" s="72" t="str">
        <v>为了准确快捷入库，请尽量配合贴好入仓标签/FBA标签/SKU标签等，因未贴标签或未及时告知导致仓库未能及时入库延误船期的我司概不负责</v>
      </c>
      <c r="D56" s="72"/>
    </row>
    <row customHeight="true" ht="50" r="57">
      <c r="A57" s="191" t="str">
        <v>优势:自主装柜，海运市场优质后端，信誉清关行，快捷海外转运派送。</v>
      </c>
      <c r="B57" s="191"/>
      <c r="C57" s="191"/>
      <c r="D57" s="191"/>
    </row>
    <row customHeight="true" ht="70" r="58">
      <c r="A58" s="191" t="str">
        <v>注明：每周报价表为实时报价，不可控因素或市场变化调节过大时，升或降以到仓价格为准。</v>
      </c>
      <c r="B58" s="191"/>
      <c r="C58" s="191"/>
      <c r="D58" s="191"/>
      <c r="E58" s="92"/>
      <c r="F58" s="92"/>
      <c r="G58" s="92"/>
      <c r="H58" s="92"/>
      <c r="I58" s="92"/>
      <c r="J58" s="92"/>
      <c r="K58" s="92"/>
      <c r="L58" s="92"/>
      <c r="M58" s="92"/>
      <c r="N58" s="92"/>
      <c r="O58" s="92"/>
      <c r="P58" s="92"/>
      <c r="Q58" s="92"/>
      <c r="R58" s="92"/>
      <c r="S58" s="92"/>
      <c r="T58" s="92"/>
    </row>
    <row customHeight="true" ht="26" r="59">
      <c r="A59" s="191" t="str">
        <v>包税附加费，未列明产品请跟业务联系</v>
      </c>
      <c r="B59" s="191"/>
      <c r="C59" s="191"/>
      <c r="D59" s="191"/>
      <c r="E59" s="92"/>
      <c r="F59" s="92"/>
      <c r="G59" s="92"/>
      <c r="H59" s="92"/>
      <c r="I59" s="92"/>
      <c r="J59" s="92"/>
      <c r="K59" s="92"/>
      <c r="L59" s="92"/>
      <c r="M59" s="92"/>
      <c r="N59" s="92"/>
      <c r="O59" s="92"/>
      <c r="P59" s="92"/>
      <c r="Q59" s="92"/>
    </row>
    <row customHeight="true" ht="48" r="60">
      <c r="A60" s="72" t="str">
        <v>单证报关250/票，单票超5个品名以上+50RMB/个
卡派超限附加费：最长边不可超过120CM,次长边不可超过100CM，超长附加单价*1.1倍计算。单箱实重超过30KG单询</v>
      </c>
      <c r="B60" s="72"/>
      <c r="C60" s="72"/>
      <c r="D60" s="72"/>
      <c r="E60" s="92"/>
      <c r="F60" s="92"/>
      <c r="G60" s="92"/>
      <c r="H60" s="92"/>
      <c r="I60" s="92"/>
      <c r="J60" s="92"/>
      <c r="K60" s="92"/>
      <c r="L60" s="92"/>
      <c r="M60" s="92"/>
      <c r="N60" s="92"/>
      <c r="O60" s="92"/>
      <c r="P60" s="92"/>
      <c r="Q60" s="92"/>
    </row>
    <row customHeight="true" ht="38" r="61">
      <c r="A61" s="72" t="str">
        <v>温馨提示：请按我司提供的样板提供电子版发票和装箱单如实申报，如因申报品名/申报数量/申报单价/申报材质/申报HS等不符造成的清关问题，我司概不负责
（清关延误不算在正常派送日内）</v>
      </c>
      <c r="B61" s="72"/>
      <c r="C61" s="72"/>
      <c r="D61" s="72"/>
      <c r="E61" s="92"/>
      <c r="F61" s="92"/>
      <c r="G61" s="92"/>
      <c r="H61" s="92"/>
      <c r="I61" s="92"/>
      <c r="J61" s="92"/>
      <c r="K61" s="92"/>
      <c r="L61" s="92"/>
      <c r="M61" s="92"/>
      <c r="N61" s="92"/>
      <c r="O61" s="92"/>
      <c r="P61" s="92"/>
      <c r="Q61" s="92"/>
    </row>
  </sheetData>
  <mergeCells>
    <mergeCell ref="A2:D2"/>
    <mergeCell ref="B3:C3"/>
    <mergeCell ref="A11:D11"/>
    <mergeCell ref="A12:D12"/>
    <mergeCell ref="B13:C13"/>
    <mergeCell ref="A18:D18"/>
    <mergeCell ref="A19:D19"/>
    <mergeCell ref="B20:C20"/>
    <mergeCell ref="A26:D26"/>
    <mergeCell ref="A27:D27"/>
    <mergeCell ref="B28:C28"/>
    <mergeCell ref="A33:D33"/>
    <mergeCell ref="A34:D34"/>
    <mergeCell ref="B35:C35"/>
    <mergeCell ref="A40:D40"/>
    <mergeCell ref="A41:D41"/>
    <mergeCell ref="B42:C42"/>
    <mergeCell ref="A50:D50"/>
    <mergeCell ref="A51:D51"/>
    <mergeCell ref="C52:D52"/>
    <mergeCell ref="C53:D53"/>
    <mergeCell ref="C54:D54"/>
    <mergeCell ref="C55:D55"/>
    <mergeCell ref="C56:D56"/>
    <mergeCell ref="A57:D57"/>
    <mergeCell ref="A58:D58"/>
    <mergeCell ref="A59:D59"/>
    <mergeCell ref="A60:D60"/>
    <mergeCell ref="A61:D61"/>
  </mergeCells>
  <drawing r:id="rId1"/>
  <picture r:id="rId2"/>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E599"/>
    <outlinePr summaryBelow="false" summaryRight="false"/>
  </sheetPr>
  <dimension ref="A1"/>
  <sheetViews>
    <sheetView showGridLines="true" workbookViewId="0"/>
  </sheetViews>
  <sheetFormatPr defaultColWidth="14" defaultRowHeight="19"/>
  <cols>
    <col collapsed="false" customWidth="true" hidden="false" max="1" min="1" style="0" width="24"/>
    <col collapsed="false" customWidth="true" hidden="false" max="2" min="2" style="0" width="5"/>
    <col collapsed="false" customWidth="true" hidden="false" max="3" min="3" style="0" width="20"/>
    <col collapsed="false" customWidth="true" hidden="false" max="4" min="4" style="0" width="21"/>
    <col collapsed="false" customWidth="true" hidden="false" max="5" min="5" style="0" width="21"/>
    <col collapsed="false" customWidth="true" hidden="false" max="6" min="6" style="0" width="21"/>
    <col collapsed="false" customWidth="true" hidden="false" max="7" min="7" style="0" width="21"/>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28" r="1">
      <c r="A1" s="301"/>
      <c r="B1" s="301"/>
      <c r="C1" s="301"/>
      <c r="D1" s="301"/>
      <c r="E1" s="301"/>
      <c r="F1" s="92"/>
      <c r="G1" s="92"/>
      <c r="H1" s="92"/>
      <c r="I1" s="92"/>
      <c r="J1" s="92"/>
      <c r="K1" s="92"/>
      <c r="L1" s="92"/>
      <c r="M1" s="92"/>
      <c r="N1" s="92"/>
    </row>
    <row customHeight="true" ht="40" r="2">
      <c r="A2" s="135" t="str">
        <v>沃尔玛仓专线服务</v>
      </c>
      <c r="B2" s="135"/>
      <c r="C2" s="135"/>
      <c r="D2" s="135"/>
      <c r="E2" s="135"/>
      <c r="F2" s="135"/>
      <c r="G2" s="135"/>
      <c r="H2" s="92"/>
      <c r="I2" s="92"/>
      <c r="J2" s="92"/>
      <c r="K2" s="92"/>
      <c r="L2" s="92"/>
      <c r="M2" s="92"/>
      <c r="N2" s="92"/>
    </row>
    <row customHeight="true" ht="32" r="3">
      <c r="A3" s="208" t="str">
        <v>卡派包税</v>
      </c>
      <c r="B3" s="208"/>
      <c r="C3" s="208"/>
      <c r="D3" s="208"/>
      <c r="E3" s="208"/>
      <c r="F3" s="208"/>
      <c r="G3" s="208"/>
      <c r="H3" s="92"/>
      <c r="I3" s="92"/>
      <c r="J3" s="92"/>
      <c r="K3" s="92"/>
      <c r="L3" s="92"/>
      <c r="M3" s="92"/>
      <c r="N3" s="92"/>
    </row>
    <row customHeight="true" ht="32" r="4">
      <c r="A4" s="118"/>
      <c r="B4" s="120"/>
      <c r="C4" s="117" t="str">
        <v>渠道</v>
      </c>
      <c r="D4" s="118" t="str">
        <v>珠三角/汕头/义乌交货价</v>
      </c>
      <c r="E4" s="117"/>
      <c r="F4" s="117"/>
      <c r="G4" s="118"/>
      <c r="H4" s="92"/>
      <c r="I4" s="92"/>
      <c r="J4" s="92"/>
      <c r="K4" s="92"/>
      <c r="L4" s="92"/>
      <c r="M4" s="92"/>
      <c r="N4" s="92"/>
    </row>
    <row customHeight="true" ht="61" r="5">
      <c r="A5" s="292" t="str">
        <v>仓库                             重量段</v>
      </c>
      <c r="B5" s="124"/>
      <c r="C5" s="124" t="str">
        <v>卡派</v>
      </c>
      <c r="D5" s="124" t="str">
        <v>501KG+</v>
      </c>
      <c r="E5" s="102" t="str">
        <v>3001KG+</v>
      </c>
      <c r="F5" s="102" t="str">
        <v>5001KG+</v>
      </c>
      <c r="G5" s="126" t="str">
        <v>参考签收时效
（开船后）</v>
      </c>
      <c r="H5" s="92"/>
      <c r="I5" s="92"/>
      <c r="J5" s="92"/>
      <c r="K5" s="92"/>
      <c r="L5" s="92"/>
      <c r="M5" s="92"/>
      <c r="N5" s="92"/>
    </row>
    <row customHeight="true" ht="38" r="6">
      <c r="A6" s="24" t="str">
        <v>LAX1,LAX2</v>
      </c>
      <c r="B6" s="24"/>
      <c r="C6" s="295" t="str">
        <v>美森360</v>
      </c>
      <c r="D6" s="24">
        <v>11.1</v>
      </c>
      <c r="E6" s="24">
        <v>10.9</v>
      </c>
      <c r="F6" s="24">
        <v>10.7</v>
      </c>
      <c r="G6" s="24" t="str">
        <v>13-17个自然日</v>
      </c>
      <c r="H6" s="269"/>
      <c r="I6" s="269"/>
      <c r="J6" s="92"/>
      <c r="K6" s="92"/>
      <c r="L6" s="92"/>
      <c r="M6" s="92"/>
      <c r="N6" s="92"/>
    </row>
    <row customHeight="true" ht="40" r="7">
      <c r="A7" s="126" t="str">
        <v>LAX2T</v>
      </c>
      <c r="B7" s="126"/>
      <c r="C7" s="297"/>
      <c r="D7" s="102">
        <v>11.4</v>
      </c>
      <c r="E7" s="102">
        <v>11.2</v>
      </c>
      <c r="F7" s="102">
        <v>11</v>
      </c>
      <c r="G7" s="102" t="str">
        <v>13-17个自然日</v>
      </c>
      <c r="H7" s="92"/>
      <c r="I7" s="92"/>
      <c r="J7" s="92"/>
      <c r="K7" s="92"/>
      <c r="L7" s="92"/>
      <c r="M7" s="92"/>
      <c r="N7" s="92"/>
    </row>
    <row customHeight="true" ht="38" r="8">
      <c r="A8" s="24" t="str">
        <v>LAX1,LAX2</v>
      </c>
      <c r="B8" s="24"/>
      <c r="C8" s="288" t="str">
        <v>美森432</v>
      </c>
      <c r="D8" s="24">
        <v>10.6</v>
      </c>
      <c r="E8" s="24">
        <v>10.4</v>
      </c>
      <c r="F8" s="24">
        <v>10.2</v>
      </c>
      <c r="G8" s="24" t="str">
        <v>15-19个自然日</v>
      </c>
      <c r="H8" s="269"/>
      <c r="I8" s="269"/>
      <c r="J8" s="92"/>
      <c r="K8" s="92"/>
      <c r="L8" s="92"/>
      <c r="M8" s="92"/>
      <c r="N8" s="92"/>
    </row>
    <row customHeight="true" ht="40" r="9">
      <c r="A9" s="126" t="str">
        <v>LAX2T</v>
      </c>
      <c r="B9" s="126"/>
      <c r="C9" s="290"/>
      <c r="D9" s="102">
        <v>10.9</v>
      </c>
      <c r="E9" s="102">
        <v>10.7</v>
      </c>
      <c r="F9" s="102">
        <v>10.5</v>
      </c>
      <c r="G9" s="102" t="str">
        <v>15-19个自然日</v>
      </c>
      <c r="H9" s="92"/>
      <c r="I9" s="92"/>
      <c r="J9" s="92"/>
      <c r="K9" s="92"/>
      <c r="L9" s="92"/>
      <c r="M9" s="92"/>
      <c r="N9" s="92"/>
    </row>
    <row customHeight="true" ht="38" r="10">
      <c r="A10" s="24" t="str">
        <v>LAX1,LAX2</v>
      </c>
      <c r="B10" s="24"/>
      <c r="C10" s="302" t="str">
        <v>EX456</v>
      </c>
      <c r="D10" s="24">
        <v>6.2</v>
      </c>
      <c r="E10" s="24">
        <v>6</v>
      </c>
      <c r="F10" s="24">
        <v>5.8</v>
      </c>
      <c r="G10" s="24" t="str">
        <v>17-21个自然日</v>
      </c>
      <c r="H10" s="92"/>
      <c r="I10" s="269"/>
      <c r="J10" s="92"/>
      <c r="K10" s="92"/>
      <c r="L10" s="92"/>
      <c r="M10" s="92"/>
      <c r="N10" s="92"/>
    </row>
    <row customHeight="true" ht="40" r="11">
      <c r="A11" s="126" t="str">
        <v>LAX2T</v>
      </c>
      <c r="B11" s="126"/>
      <c r="C11" s="297"/>
      <c r="D11" s="102">
        <v>6.5</v>
      </c>
      <c r="E11" s="102">
        <v>6.3</v>
      </c>
      <c r="F11" s="102">
        <v>6.1</v>
      </c>
      <c r="G11" s="102" t="str">
        <v>17-21个自然日</v>
      </c>
      <c r="H11" s="269"/>
      <c r="I11" s="92"/>
      <c r="J11" s="92"/>
      <c r="K11" s="92"/>
      <c r="L11" s="92"/>
      <c r="M11" s="92"/>
      <c r="N11" s="92"/>
    </row>
    <row customHeight="true" ht="33" r="12">
      <c r="A12" s="24" t="str">
        <v>LAX1,LAX2</v>
      </c>
      <c r="B12" s="24"/>
      <c r="C12" s="288" t="str">
        <v>快船600</v>
      </c>
      <c r="D12" s="24">
        <v>5</v>
      </c>
      <c r="E12" s="24">
        <v>4.8</v>
      </c>
      <c r="F12" s="24">
        <v>4.6</v>
      </c>
      <c r="G12" s="24" t="str">
        <v>23-27个自然日</v>
      </c>
      <c r="H12" s="92"/>
      <c r="I12" s="92"/>
      <c r="J12" s="92"/>
      <c r="K12" s="92"/>
      <c r="L12" s="92"/>
      <c r="M12" s="92"/>
      <c r="N12" s="92"/>
    </row>
    <row customHeight="true" ht="36" r="13">
      <c r="A13" s="126" t="str">
        <v>LAX2T</v>
      </c>
      <c r="B13" s="126"/>
      <c r="C13" s="290"/>
      <c r="D13" s="102">
        <v>5.3</v>
      </c>
      <c r="E13" s="102">
        <v>5.1</v>
      </c>
      <c r="F13" s="102">
        <v>4.9</v>
      </c>
      <c r="G13" s="102" t="str">
        <v>25-29个自然日</v>
      </c>
      <c r="H13" s="269"/>
      <c r="I13" s="92"/>
      <c r="J13" s="92"/>
      <c r="K13" s="92"/>
      <c r="L13" s="92"/>
      <c r="M13" s="92"/>
      <c r="N13" s="92"/>
    </row>
    <row customHeight="true" ht="33" r="14">
      <c r="A14" s="24" t="str">
        <v>ORD1s</v>
      </c>
      <c r="B14" s="24"/>
      <c r="C14" s="293" t="str">
        <v>芝加哥840</v>
      </c>
      <c r="D14" s="24">
        <v>6.7</v>
      </c>
      <c r="E14" s="24">
        <v>6.5</v>
      </c>
      <c r="F14" s="24">
        <v>6.3</v>
      </c>
      <c r="G14" s="24" t="str">
        <v>27-32个自然日</v>
      </c>
      <c r="H14" s="269"/>
      <c r="I14" s="92"/>
      <c r="J14" s="92"/>
      <c r="K14" s="92"/>
      <c r="L14" s="92"/>
      <c r="M14" s="92"/>
      <c r="N14" s="92"/>
    </row>
    <row customHeight="true" ht="36" r="15">
      <c r="A15" s="126" t="str">
        <v>IND2,IND3,IND2n</v>
      </c>
      <c r="B15" s="126"/>
      <c r="C15" s="296"/>
      <c r="D15" s="102">
        <v>7.1</v>
      </c>
      <c r="E15" s="102">
        <v>6.9</v>
      </c>
      <c r="F15" s="102">
        <v>6.7</v>
      </c>
      <c r="G15" s="102" t="str">
        <v>28-33个自然日</v>
      </c>
      <c r="H15" s="269"/>
      <c r="I15" s="269"/>
      <c r="J15" s="92"/>
      <c r="K15" s="92"/>
      <c r="L15" s="92"/>
      <c r="M15" s="92"/>
      <c r="N15" s="92"/>
    </row>
    <row customHeight="true" ht="36" r="16">
      <c r="A16" s="106" t="str">
        <v>KS1,MCI1N</v>
      </c>
      <c r="B16" s="106"/>
      <c r="C16" s="298"/>
      <c r="D16" s="24">
        <v>7.9</v>
      </c>
      <c r="E16" s="24">
        <v>7.7</v>
      </c>
      <c r="F16" s="24">
        <v>7.5</v>
      </c>
      <c r="G16" s="24" t="str">
        <v>29-35个自然日</v>
      </c>
      <c r="H16" s="92"/>
      <c r="I16" s="92"/>
      <c r="J16" s="92"/>
      <c r="K16" s="92"/>
      <c r="L16" s="92"/>
      <c r="M16" s="92"/>
      <c r="N16" s="92"/>
    </row>
    <row customHeight="true" ht="33" r="17">
      <c r="A17" s="126" t="str">
        <v>DFW2n,DFW5s</v>
      </c>
      <c r="B17" s="126"/>
      <c r="C17" s="300" t="str">
        <v>休斯顿866</v>
      </c>
      <c r="D17" s="102">
        <v>7.7</v>
      </c>
      <c r="E17" s="102">
        <v>7.5</v>
      </c>
      <c r="F17" s="102">
        <v>7.3</v>
      </c>
      <c r="G17" s="102" t="str">
        <v>36-43个自然日</v>
      </c>
      <c r="H17" s="92"/>
      <c r="I17" s="92"/>
      <c r="J17" s="92"/>
      <c r="K17" s="92"/>
      <c r="L17" s="92"/>
      <c r="M17" s="92"/>
      <c r="N17" s="92"/>
    </row>
    <row customHeight="true" ht="33" r="18">
      <c r="A18" s="106" t="str">
        <v>ATL1,ATL3</v>
      </c>
      <c r="B18" s="106"/>
      <c r="C18" s="302" t="str">
        <v>萨凡纳888</v>
      </c>
      <c r="D18" s="24">
        <v>6</v>
      </c>
      <c r="E18" s="24">
        <v>5.8</v>
      </c>
      <c r="F18" s="24">
        <v>5.6</v>
      </c>
      <c r="G18" s="24" t="str">
        <v>36-43个自然日</v>
      </c>
      <c r="H18" s="92"/>
      <c r="I18" s="92"/>
      <c r="J18" s="92"/>
      <c r="K18" s="92"/>
      <c r="L18" s="92"/>
      <c r="M18" s="92"/>
      <c r="N18" s="92"/>
    </row>
    <row customHeight="true" ht="33" r="19">
      <c r="A19" s="126" t="str">
        <v>ATL2n,MCO1</v>
      </c>
      <c r="B19" s="126"/>
      <c r="C19" s="297"/>
      <c r="D19" s="102">
        <v>8</v>
      </c>
      <c r="E19" s="102">
        <v>7.8</v>
      </c>
      <c r="F19" s="102">
        <v>7.6</v>
      </c>
      <c r="G19" s="102" t="str">
        <v>40-47个自然日</v>
      </c>
      <c r="H19" s="92"/>
      <c r="I19" s="92"/>
      <c r="J19" s="92"/>
      <c r="K19" s="92"/>
      <c r="L19" s="92"/>
      <c r="M19" s="92"/>
      <c r="N19" s="92"/>
    </row>
    <row customHeight="true" ht="33" r="20">
      <c r="A20" s="24" t="str">
        <v>NJ3,PHL2</v>
      </c>
      <c r="B20" s="24"/>
      <c r="C20" s="289" t="str">
        <v>纽约960</v>
      </c>
      <c r="D20" s="24">
        <v>6.2</v>
      </c>
      <c r="E20" s="24">
        <v>6</v>
      </c>
      <c r="F20" s="24">
        <v>5.8</v>
      </c>
      <c r="G20" s="24" t="str">
        <v>40-47个自然日</v>
      </c>
      <c r="H20" s="92"/>
      <c r="I20" s="92"/>
      <c r="J20" s="92"/>
      <c r="K20" s="92"/>
      <c r="L20" s="92"/>
      <c r="M20" s="92"/>
      <c r="N20" s="92"/>
    </row>
    <row customHeight="true" ht="38" r="21">
      <c r="A21" s="126" t="str">
        <v>PHL1S.PHL2n,PHL5s,PHL4n</v>
      </c>
      <c r="B21" s="126"/>
      <c r="C21" s="291"/>
      <c r="D21" s="102">
        <v>6.5</v>
      </c>
      <c r="E21" s="102">
        <v>6.3</v>
      </c>
      <c r="F21" s="102">
        <v>6.1</v>
      </c>
      <c r="G21" s="102" t="str">
        <v>42-49个自然日</v>
      </c>
      <c r="H21" s="269"/>
      <c r="I21" s="269"/>
      <c r="J21" s="92"/>
      <c r="K21" s="92"/>
      <c r="L21" s="92"/>
      <c r="M21" s="92"/>
      <c r="N21" s="92"/>
    </row>
    <row customHeight="true" ht="36" r="22">
      <c r="A22" s="106" t="str">
        <v>KY1</v>
      </c>
      <c r="B22" s="106"/>
      <c r="C22" s="294"/>
      <c r="D22" s="24">
        <v>7.2</v>
      </c>
      <c r="E22" s="24">
        <v>7</v>
      </c>
      <c r="F22" s="24">
        <v>6.8</v>
      </c>
      <c r="G22" s="24" t="str">
        <v>43-50个自然日</v>
      </c>
      <c r="H22" s="92"/>
      <c r="I22" s="92"/>
      <c r="J22" s="92"/>
      <c r="K22" s="92"/>
      <c r="L22" s="92"/>
      <c r="M22" s="92"/>
      <c r="N22" s="92"/>
    </row>
    <row customHeight="true" ht="70" r="23">
      <c r="A23" s="189" t="str">
        <v>自2025年5月12日起
符合美国清关第232条款的钢铁制品、铝制品关税附加费加收0.5元/KG；</v>
      </c>
      <c r="B23" s="189"/>
      <c r="C23" s="189"/>
      <c r="D23" s="189"/>
      <c r="E23" s="189"/>
      <c r="F23" s="189"/>
      <c r="G23" s="189"/>
      <c r="H23" s="92"/>
      <c r="I23" s="92"/>
      <c r="J23" s="92"/>
      <c r="K23" s="92"/>
    </row>
    <row customHeight="true" ht="22" r="24">
      <c r="A24" s="277" t="str">
        <v>需加收产品及杂费</v>
      </c>
      <c r="B24" s="277"/>
      <c r="C24" s="277"/>
      <c r="D24" s="277"/>
      <c r="E24" s="277" t="str">
        <v>加收金额</v>
      </c>
      <c r="F24" s="277" t="str">
        <v>备注</v>
      </c>
      <c r="G24" s="277"/>
      <c r="H24" s="92"/>
      <c r="I24" s="92"/>
      <c r="J24" s="92"/>
      <c r="K24" s="92"/>
      <c r="L24" s="92"/>
      <c r="M24" s="92"/>
      <c r="N24" s="92"/>
      <c r="O24" s="92"/>
      <c r="P24" s="92"/>
      <c r="Q24" s="92"/>
      <c r="R24" s="92"/>
      <c r="S24" s="92"/>
      <c r="T24" s="92"/>
    </row>
    <row customHeight="true" ht="38" r="25">
      <c r="A25" s="72" t="str">
        <v>除高价值，高关税产品，其余普通产品无附加费</v>
      </c>
      <c r="B25" s="72"/>
      <c r="C25" s="72"/>
      <c r="D25" s="72"/>
      <c r="E25" s="72" t="str">
        <v>无附加费</v>
      </c>
      <c r="F25" s="72" t="str">
        <v>由于产品本身专利或知识产权问题产生扣关，货物退回等后续问题由客户承担，我司保留追究的权力。</v>
      </c>
      <c r="G25" s="72"/>
      <c r="H25" s="92"/>
      <c r="I25" s="92"/>
      <c r="J25" s="92"/>
      <c r="K25" s="92"/>
      <c r="L25" s="92"/>
      <c r="M25" s="92"/>
      <c r="N25" s="92"/>
      <c r="O25" s="92"/>
      <c r="P25" s="92"/>
      <c r="Q25" s="92"/>
      <c r="R25" s="92"/>
      <c r="S25" s="92"/>
      <c r="T25" s="92"/>
    </row>
    <row customHeight="true" ht="70" r="26">
      <c r="A26" s="72" t="str">
        <v>木制品、蓝牙产品、激光类产品、UL产品</v>
      </c>
      <c r="B26" s="72"/>
      <c r="C26" s="72"/>
      <c r="D26" s="72"/>
      <c r="E26" s="72" t="str">
        <v>+1/KG</v>
      </c>
      <c r="F26" s="72" t="str">
        <v>FDA类产品，海关可能会查验。由于客户提供错误的FDA ID. 产生扣关，关税，货物退回等后续问题由客户承担，我司并保留追究的权力</v>
      </c>
      <c r="G26" s="72"/>
      <c r="H26" s="92"/>
      <c r="I26" s="92"/>
      <c r="J26" s="92"/>
      <c r="K26" s="92"/>
      <c r="L26" s="92"/>
      <c r="M26" s="92"/>
      <c r="N26" s="92"/>
      <c r="O26" s="92"/>
      <c r="P26" s="92"/>
      <c r="Q26" s="92"/>
      <c r="R26" s="92"/>
      <c r="S26" s="92"/>
      <c r="T26" s="92"/>
    </row>
    <row customHeight="true" ht="70" r="27">
      <c r="A27" s="72" t="str">
        <v>化工品（指甲胶、精油、口红、眼影，卸妆水、洗发水等）</v>
      </c>
      <c r="B27" s="72"/>
      <c r="C27" s="72"/>
      <c r="D27" s="72"/>
      <c r="E27" s="72" t="str">
        <v>+2/KG</v>
      </c>
      <c r="F27" s="72" t="str">
        <v>提供真实有效期内商检、MSDS认证视为普货，无需附加费（证书是否有效以相关部门是否认可为准）</v>
      </c>
      <c r="G27" s="72"/>
      <c r="H27" s="92"/>
      <c r="I27" s="92"/>
      <c r="J27" s="92"/>
      <c r="K27" s="92"/>
      <c r="L27" s="92"/>
      <c r="M27" s="92"/>
      <c r="N27" s="92"/>
      <c r="O27" s="92"/>
      <c r="P27" s="92"/>
      <c r="Q27" s="92"/>
      <c r="R27" s="92"/>
      <c r="S27" s="92"/>
      <c r="T27" s="92"/>
    </row>
    <row customHeight="true" ht="70" r="28">
      <c r="A28" s="72" t="str">
        <v>国内贴标费</v>
      </c>
      <c r="B28" s="72"/>
      <c r="C28" s="72"/>
      <c r="D28" s="72"/>
      <c r="E28" s="72" t="str">
        <v>1元/张</v>
      </c>
      <c r="F28" s="72" t="str">
        <v>为了准确快捷入库，请尽量配合贴好入仓标签/FBA标签/SKU标签等，因未贴标签或未及时告知导致仓库未能及时入库延误船期的我司概不负责</v>
      </c>
      <c r="G28" s="72"/>
      <c r="H28" s="92"/>
      <c r="I28" s="92"/>
      <c r="J28" s="92"/>
      <c r="K28" s="92"/>
      <c r="L28" s="92"/>
      <c r="M28" s="92"/>
      <c r="N28" s="92"/>
      <c r="O28" s="92"/>
      <c r="P28" s="92"/>
      <c r="Q28" s="92"/>
      <c r="R28" s="92"/>
      <c r="S28" s="92"/>
      <c r="T28" s="92"/>
    </row>
    <row customHeight="true" ht="55" r="29">
      <c r="A29" s="72" t="str">
        <v>报价未注明的产品，请将提供产品信息给我司客服或业务进行核实是否有附加费</v>
      </c>
      <c r="B29" s="72"/>
      <c r="C29" s="72"/>
      <c r="D29" s="72"/>
      <c r="E29" s="72" t="str">
        <v>待确定</v>
      </c>
      <c r="F29" s="72" t="str">
        <v>因美对华加增2000亿美金关税影响，请单独询问销售</v>
      </c>
      <c r="G29" s="72"/>
      <c r="H29" s="92"/>
      <c r="I29" s="92"/>
      <c r="J29" s="92"/>
      <c r="K29" s="92"/>
      <c r="L29" s="92"/>
      <c r="M29" s="92"/>
      <c r="N29" s="92"/>
      <c r="O29" s="92"/>
      <c r="P29" s="92"/>
      <c r="Q29" s="92"/>
      <c r="R29" s="92"/>
      <c r="S29" s="92"/>
      <c r="T29" s="92"/>
    </row>
    <row customHeight="true" ht="32" r="30">
      <c r="A30" s="206" t="str">
        <v>优势:自主装柜，海运市场优质后端，信誉清关行，快捷海外转运派送。</v>
      </c>
      <c r="B30" s="206"/>
      <c r="C30" s="206"/>
      <c r="D30" s="206"/>
      <c r="E30" s="206"/>
      <c r="F30" s="206"/>
      <c r="G30" s="206"/>
      <c r="H30" s="92"/>
      <c r="I30" s="92"/>
      <c r="J30" s="92"/>
      <c r="K30" s="92"/>
      <c r="L30" s="92"/>
      <c r="M30" s="92"/>
      <c r="N30" s="92"/>
      <c r="O30" s="92"/>
      <c r="P30" s="92"/>
      <c r="Q30" s="92"/>
      <c r="R30" s="92"/>
      <c r="S30" s="92"/>
      <c r="T30" s="92"/>
    </row>
    <row customHeight="true" ht="32" r="31">
      <c r="A31" s="191" t="str">
        <v>注明：每周报价表为实时报价，不可控因素或市场变化调节过大时，升或降以到仓价格为准。</v>
      </c>
      <c r="B31" s="191"/>
      <c r="C31" s="191"/>
      <c r="D31" s="191"/>
      <c r="E31" s="191"/>
      <c r="F31" s="191"/>
      <c r="G31" s="191"/>
      <c r="H31" s="92"/>
      <c r="I31" s="92"/>
      <c r="J31" s="92"/>
      <c r="K31" s="92"/>
      <c r="L31" s="92"/>
      <c r="M31" s="92"/>
      <c r="N31" s="92"/>
      <c r="O31" s="92"/>
      <c r="P31" s="92"/>
      <c r="Q31" s="92"/>
      <c r="R31" s="92"/>
      <c r="S31" s="92"/>
      <c r="T31" s="92"/>
    </row>
    <row customHeight="true" ht="32" r="32">
      <c r="A32" s="299" t="str">
        <v>包税附加费，未列明产品请跟业务联系</v>
      </c>
      <c r="B32" s="299"/>
      <c r="C32" s="299"/>
      <c r="D32" s="299"/>
      <c r="E32" s="299"/>
      <c r="F32" s="299"/>
      <c r="G32" s="299"/>
      <c r="H32" s="92"/>
      <c r="I32" s="92"/>
      <c r="J32" s="92"/>
      <c r="K32" s="92"/>
      <c r="L32" s="92"/>
      <c r="M32" s="92"/>
      <c r="N32" s="92"/>
      <c r="O32" s="92"/>
      <c r="P32" s="92"/>
      <c r="Q32" s="92"/>
      <c r="R32" s="92"/>
      <c r="S32" s="92"/>
      <c r="T32" s="92"/>
    </row>
    <row customHeight="true" ht="44" r="33">
      <c r="A33" s="72" t="str">
        <v>单证报关250/票，单票超5个品名以上+50RMB/个
卡派超限附加费：最长边不可超过120CM,次长边不可超过100CM，超长附加单价*1.1倍计算。单箱实重超过30KG单询</v>
      </c>
      <c r="B33" s="72"/>
      <c r="C33" s="72"/>
      <c r="D33" s="72"/>
      <c r="E33" s="72"/>
      <c r="F33" s="72"/>
      <c r="G33" s="72"/>
      <c r="H33" s="92"/>
      <c r="I33" s="92"/>
      <c r="J33" s="92"/>
      <c r="K33" s="92"/>
      <c r="L33" s="92"/>
      <c r="M33" s="92"/>
      <c r="N33" s="92"/>
      <c r="O33" s="92"/>
      <c r="P33" s="92"/>
      <c r="Q33" s="92"/>
      <c r="R33" s="92"/>
      <c r="S33" s="92"/>
      <c r="T33" s="92"/>
    </row>
    <row customHeight="true" ht="55" r="34">
      <c r="A34" s="72" t="str">
        <v>温馨提示：请按我司提供的样板提供电子版发票和装箱单如实申报，如因申报品名/申报数量/申报单价/申报材质/申报HS等不符造成的清关问题，我司概不负责
（清关延误不算在正常派送日内）</v>
      </c>
      <c r="B34" s="72"/>
      <c r="C34" s="72"/>
      <c r="D34" s="72"/>
      <c r="E34" s="72"/>
      <c r="F34" s="72"/>
      <c r="G34" s="72"/>
      <c r="H34" s="92"/>
      <c r="I34" s="92"/>
      <c r="J34" s="92"/>
      <c r="K34" s="92"/>
      <c r="L34" s="92"/>
      <c r="M34" s="92"/>
      <c r="N34" s="92"/>
    </row>
  </sheetData>
  <mergeCells>
    <mergeCell ref="A2:G2"/>
    <mergeCell ref="A3:G3"/>
    <mergeCell ref="A4:B4"/>
    <mergeCell ref="D4:F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G23"/>
    <mergeCell ref="A24:D24"/>
    <mergeCell ref="F24:G24"/>
    <mergeCell ref="A25:D25"/>
    <mergeCell ref="F25:G25"/>
    <mergeCell ref="A26:D26"/>
    <mergeCell ref="F26:G26"/>
    <mergeCell ref="A27:D27"/>
    <mergeCell ref="F27:G27"/>
    <mergeCell ref="A28:D28"/>
    <mergeCell ref="F28:G28"/>
    <mergeCell ref="A29:D29"/>
    <mergeCell ref="F29:G29"/>
    <mergeCell ref="A30:G30"/>
    <mergeCell ref="A31:G31"/>
    <mergeCell ref="A32:G32"/>
    <mergeCell ref="A33:G33"/>
    <mergeCell ref="A34:G34"/>
    <mergeCell ref="C6:C7"/>
    <mergeCell ref="C8:C9"/>
    <mergeCell ref="C10:C11"/>
    <mergeCell ref="C12:C13"/>
    <mergeCell ref="C14:C16"/>
    <mergeCell ref="C18:C19"/>
    <mergeCell ref="C20:C22"/>
  </mergeCells>
  <drawing r:id="rId1"/>
  <picture r:id="rId2"/>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B4BAC3"/>
    <outlinePr summaryBelow="false" summaryRight="false"/>
  </sheetPr>
  <dimension ref="A1"/>
  <sheetViews>
    <sheetView showGridLines="true" workbookViewId="0"/>
  </sheetViews>
  <sheetFormatPr defaultColWidth="14" defaultRowHeight="19"/>
  <cols>
    <col collapsed="false" customWidth="true" hidden="false" max="1" min="1" style="0" width="24"/>
    <col collapsed="false" customWidth="true" hidden="false" max="2" min="2" style="0" width="87"/>
    <col collapsed="false" customWidth="true" hidden="false" max="3" min="3" style="0" width="19"/>
    <col collapsed="false" customWidth="true" hidden="false" max="4" min="4" style="0" width="19"/>
    <col collapsed="false" customWidth="true" hidden="false" max="5" min="5" style="0" width="19"/>
    <col collapsed="false" customWidth="true" hidden="false" max="6" min="6" style="0" width="24"/>
    <col collapsed="false" customWidth="true" hidden="false" max="7" min="7" style="0" width="35"/>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28" r="1">
      <c r="A1" s="301"/>
      <c r="B1" s="301"/>
      <c r="C1" s="301"/>
      <c r="D1" s="92"/>
      <c r="E1" s="92"/>
      <c r="F1" s="92"/>
      <c r="G1" s="303"/>
      <c r="H1" s="92"/>
      <c r="I1" s="92"/>
      <c r="J1" s="92"/>
      <c r="K1" s="92"/>
      <c r="L1" s="92"/>
      <c r="M1" s="92"/>
      <c r="N1" s="92"/>
    </row>
    <row customHeight="true" ht="40" r="2">
      <c r="A2" s="312" t="str">
        <v>美森360</v>
      </c>
      <c r="B2" s="312"/>
      <c r="C2" s="312"/>
      <c r="D2" s="312"/>
      <c r="E2" s="312"/>
      <c r="F2" s="312"/>
      <c r="G2" s="312"/>
      <c r="H2" s="92"/>
      <c r="I2" s="92"/>
      <c r="J2" s="92"/>
      <c r="K2" s="92"/>
      <c r="L2" s="92"/>
      <c r="M2" s="92"/>
      <c r="N2" s="92"/>
    </row>
    <row customHeight="true" ht="32" r="3">
      <c r="A3" s="323" t="str">
        <v>卡派包税</v>
      </c>
      <c r="B3" s="323"/>
      <c r="C3" s="323"/>
      <c r="D3" s="323"/>
      <c r="E3" s="323"/>
      <c r="F3" s="323"/>
      <c r="G3" s="323"/>
      <c r="H3" s="92"/>
      <c r="I3" s="92"/>
      <c r="J3" s="92"/>
      <c r="K3" s="92"/>
      <c r="L3" s="92"/>
      <c r="M3" s="92"/>
      <c r="N3" s="92"/>
    </row>
    <row customHeight="true" ht="32" r="4">
      <c r="A4" s="319"/>
      <c r="B4" s="317"/>
      <c r="C4" s="318" t="str">
        <v>珠三角/汕头/义乌交货价</v>
      </c>
      <c r="D4" s="318"/>
      <c r="E4" s="318"/>
      <c r="F4" s="319"/>
      <c r="G4" s="317"/>
      <c r="H4" s="92"/>
      <c r="I4" s="92"/>
      <c r="J4" s="92"/>
      <c r="K4" s="92"/>
      <c r="L4" s="92"/>
      <c r="M4" s="92"/>
      <c r="N4" s="92"/>
    </row>
    <row customHeight="true" ht="61" r="5">
      <c r="A5" s="327" t="s">
        <v>27</v>
      </c>
      <c r="B5" s="307"/>
      <c r="C5" s="307" t="str">
        <v>301KG+</v>
      </c>
      <c r="D5" s="307" t="str">
        <v>501KG+</v>
      </c>
      <c r="E5" s="308" t="str">
        <v>3001KG+</v>
      </c>
      <c r="F5" s="311" t="str">
        <v>参考签收时效
（开船后）</v>
      </c>
      <c r="G5" s="309" t="str">
        <v>备注</v>
      </c>
      <c r="H5" s="92"/>
      <c r="I5" s="92"/>
      <c r="J5" s="92"/>
      <c r="K5" s="92"/>
      <c r="L5" s="92"/>
      <c r="M5" s="92"/>
      <c r="N5" s="92"/>
    </row>
    <row customHeight="true" ht="38" r="6">
      <c r="A6" s="304" t="str">
        <v>美西中转仓</v>
      </c>
      <c r="B6" s="304"/>
      <c r="C6" s="304">
        <v>12.8</v>
      </c>
      <c r="D6" s="304">
        <v>11.8</v>
      </c>
      <c r="E6" s="304">
        <v>11.1</v>
      </c>
      <c r="F6" s="304" t="str">
        <v>9-12个工作日</v>
      </c>
      <c r="G6" s="333" t="s">
        <v>28</v>
      </c>
      <c r="H6" s="269"/>
      <c r="I6" s="269"/>
      <c r="J6" s="92"/>
      <c r="K6" s="92"/>
      <c r="L6" s="92"/>
      <c r="M6" s="92"/>
      <c r="N6" s="92"/>
    </row>
    <row customHeight="true" ht="38" r="7">
      <c r="A7" s="311" t="str">
        <v>长岛仓11717</v>
      </c>
      <c r="B7" s="311"/>
      <c r="C7" s="308" t="str">
        <v>*</v>
      </c>
      <c r="D7" s="308">
        <v>15.7</v>
      </c>
      <c r="E7" s="308">
        <v>15</v>
      </c>
      <c r="F7" s="308" t="str">
        <v>15-22个工作日</v>
      </c>
      <c r="G7" s="305"/>
      <c r="H7" s="269"/>
      <c r="I7" s="269"/>
      <c r="J7" s="92"/>
      <c r="K7" s="92"/>
      <c r="L7" s="92"/>
      <c r="M7" s="92"/>
      <c r="N7" s="92"/>
    </row>
    <row customHeight="true" ht="40" r="8">
      <c r="A8" s="304" t="str">
        <v>Local派送90-91开头邮编</v>
      </c>
      <c r="B8" s="304"/>
      <c r="C8" s="304">
        <v>13.3</v>
      </c>
      <c r="D8" s="304">
        <v>12.3</v>
      </c>
      <c r="E8" s="304">
        <v>11.6</v>
      </c>
      <c r="F8" s="304" t="str">
        <v>10-14个工作日</v>
      </c>
      <c r="G8" s="305"/>
      <c r="H8" s="92"/>
      <c r="I8" s="92"/>
      <c r="J8" s="92"/>
      <c r="K8" s="92"/>
      <c r="L8" s="92"/>
      <c r="M8" s="92"/>
      <c r="N8" s="92"/>
    </row>
    <row customHeight="true" ht="38" r="9">
      <c r="A9" s="311" t="str">
        <v>wayfair仓-92571</v>
      </c>
      <c r="B9" s="311"/>
      <c r="C9" s="102">
        <v>13.9</v>
      </c>
      <c r="D9" s="308">
        <v>12.9</v>
      </c>
      <c r="E9" s="308">
        <v>12.2</v>
      </c>
      <c r="F9" s="308" t="str">
        <v>11-15个工作日</v>
      </c>
      <c r="G9" s="305"/>
      <c r="H9" s="92"/>
      <c r="I9" s="92"/>
      <c r="J9" s="92"/>
      <c r="K9" s="92"/>
      <c r="L9" s="92"/>
      <c r="M9" s="92"/>
      <c r="N9" s="92"/>
    </row>
    <row customHeight="true" ht="33" r="10">
      <c r="A10" s="304" t="str">
        <v>万邑通仓-41048</v>
      </c>
      <c r="B10" s="304"/>
      <c r="C10" s="304" t="str">
        <v>*</v>
      </c>
      <c r="D10" s="304">
        <v>14.5</v>
      </c>
      <c r="E10" s="304">
        <v>13.8</v>
      </c>
      <c r="F10" s="304" t="str">
        <v>12-17个工作日</v>
      </c>
      <c r="G10" s="305"/>
      <c r="H10" s="92"/>
      <c r="I10" s="92"/>
      <c r="J10" s="92"/>
      <c r="K10" s="92"/>
      <c r="L10" s="92"/>
      <c r="M10" s="92"/>
      <c r="N10" s="92"/>
    </row>
    <row customHeight="true" ht="40" r="11">
      <c r="A11" s="312" t="str">
        <v>美森432</v>
      </c>
      <c r="B11" s="312"/>
      <c r="C11" s="312"/>
      <c r="D11" s="312"/>
      <c r="E11" s="312"/>
      <c r="F11" s="312"/>
      <c r="G11" s="312"/>
      <c r="H11" s="92"/>
      <c r="I11" s="92"/>
      <c r="J11" s="92"/>
      <c r="K11" s="92"/>
      <c r="L11" s="92"/>
      <c r="M11" s="92"/>
      <c r="N11" s="92"/>
    </row>
    <row customHeight="true" ht="32" r="12">
      <c r="A12" s="323" t="str">
        <v>卡派包税</v>
      </c>
      <c r="B12" s="323"/>
      <c r="C12" s="323"/>
      <c r="D12" s="323"/>
      <c r="E12" s="323"/>
      <c r="F12" s="323"/>
      <c r="G12" s="323"/>
      <c r="H12" s="92"/>
      <c r="I12" s="92"/>
      <c r="J12" s="92"/>
      <c r="K12" s="92"/>
      <c r="L12" s="92"/>
      <c r="M12" s="92"/>
      <c r="N12" s="92"/>
    </row>
    <row customHeight="true" ht="32" r="13">
      <c r="A13" s="319"/>
      <c r="B13" s="317"/>
      <c r="C13" s="318" t="str">
        <v>珠三角/汕头/义乌交货价</v>
      </c>
      <c r="D13" s="318"/>
      <c r="E13" s="318"/>
      <c r="F13" s="319"/>
      <c r="G13" s="317"/>
      <c r="H13" s="92"/>
      <c r="I13" s="92"/>
      <c r="J13" s="92"/>
      <c r="K13" s="92"/>
      <c r="L13" s="92"/>
      <c r="M13" s="92"/>
      <c r="N13" s="92"/>
    </row>
    <row customHeight="true" ht="61" r="14">
      <c r="A14" s="327" t="s">
        <v>27</v>
      </c>
      <c r="B14" s="307"/>
      <c r="C14" s="307" t="str">
        <v>301KG+</v>
      </c>
      <c r="D14" s="307" t="str">
        <v>501KG+</v>
      </c>
      <c r="E14" s="308" t="str">
        <v>3001KG+</v>
      </c>
      <c r="F14" s="311" t="str">
        <v>参考签收时效
（开船后）</v>
      </c>
      <c r="G14" s="309" t="str">
        <v>备注</v>
      </c>
      <c r="H14" s="92"/>
      <c r="I14" s="92"/>
      <c r="J14" s="92"/>
      <c r="K14" s="92"/>
      <c r="L14" s="92"/>
      <c r="M14" s="92"/>
      <c r="N14" s="92"/>
    </row>
    <row customHeight="true" ht="38" r="15">
      <c r="A15" s="304" t="str">
        <v>美西中转仓</v>
      </c>
      <c r="B15" s="304"/>
      <c r="C15" s="304">
        <v>12.3</v>
      </c>
      <c r="D15" s="304">
        <v>11.3</v>
      </c>
      <c r="E15" s="304">
        <v>10.6</v>
      </c>
      <c r="F15" s="304" t="str">
        <v>10-13个工作日</v>
      </c>
      <c r="G15" s="333" t="s">
        <v>28</v>
      </c>
      <c r="H15" s="269"/>
      <c r="I15" s="269"/>
      <c r="J15" s="92"/>
      <c r="K15" s="92"/>
      <c r="L15" s="92"/>
      <c r="M15" s="92"/>
      <c r="N15" s="92"/>
    </row>
    <row customHeight="true" ht="38" r="16">
      <c r="A16" s="311" t="str">
        <v>长岛仓11717</v>
      </c>
      <c r="B16" s="311"/>
      <c r="C16" s="308" t="str">
        <v>*</v>
      </c>
      <c r="D16" s="308">
        <v>15.2</v>
      </c>
      <c r="E16" s="308">
        <v>14.5</v>
      </c>
      <c r="F16" s="308" t="str">
        <v>16-23个工作日</v>
      </c>
      <c r="G16" s="305"/>
      <c r="H16" s="269"/>
      <c r="I16" s="269"/>
      <c r="J16" s="92"/>
      <c r="K16" s="92"/>
      <c r="L16" s="92"/>
      <c r="M16" s="92"/>
      <c r="N16" s="92"/>
    </row>
    <row customHeight="true" ht="40" r="17">
      <c r="A17" s="304" t="str">
        <v>Local派送90-91开头邮编</v>
      </c>
      <c r="B17" s="304"/>
      <c r="C17" s="304">
        <v>12.8</v>
      </c>
      <c r="D17" s="304">
        <v>11.8</v>
      </c>
      <c r="E17" s="304">
        <v>11.1</v>
      </c>
      <c r="F17" s="304" t="str">
        <v>11-15个工作日</v>
      </c>
      <c r="G17" s="305"/>
      <c r="H17" s="92"/>
      <c r="I17" s="92"/>
      <c r="J17" s="92"/>
      <c r="K17" s="92"/>
      <c r="L17" s="92"/>
      <c r="M17" s="92"/>
      <c r="N17" s="92"/>
    </row>
    <row customHeight="true" ht="38" r="18">
      <c r="A18" s="311" t="str">
        <v>wayfair仓-92571</v>
      </c>
      <c r="B18" s="311"/>
      <c r="C18" s="308">
        <v>13.4</v>
      </c>
      <c r="D18" s="308">
        <v>12.4</v>
      </c>
      <c r="E18" s="308">
        <v>11.7</v>
      </c>
      <c r="F18" s="308" t="str">
        <v>12-16个工作日</v>
      </c>
      <c r="G18" s="305"/>
      <c r="H18" s="92"/>
      <c r="I18" s="92"/>
      <c r="J18" s="92"/>
      <c r="K18" s="92"/>
      <c r="L18" s="92"/>
      <c r="M18" s="92"/>
      <c r="N18" s="92"/>
    </row>
    <row customHeight="true" ht="33" r="19">
      <c r="A19" s="304" t="str">
        <v>万邑通仓-41048</v>
      </c>
      <c r="B19" s="304"/>
      <c r="C19" s="304" t="str">
        <v>*</v>
      </c>
      <c r="D19" s="304">
        <v>14</v>
      </c>
      <c r="E19" s="304">
        <v>13.3</v>
      </c>
      <c r="F19" s="304" t="str">
        <v>13-18个工作日</v>
      </c>
      <c r="G19" s="305"/>
      <c r="H19" s="92"/>
      <c r="I19" s="92"/>
      <c r="J19" s="92"/>
      <c r="K19" s="92"/>
      <c r="L19" s="92"/>
      <c r="M19" s="92"/>
      <c r="N19" s="92"/>
    </row>
    <row customHeight="true" ht="40" r="20">
      <c r="A20" s="312" t="str">
        <v>EX456</v>
      </c>
      <c r="B20" s="312"/>
      <c r="C20" s="312"/>
      <c r="D20" s="312"/>
      <c r="E20" s="312"/>
      <c r="F20" s="312"/>
      <c r="G20" s="312"/>
      <c r="H20" s="92"/>
      <c r="I20" s="92"/>
      <c r="J20" s="92"/>
      <c r="K20" s="92"/>
      <c r="L20" s="92"/>
      <c r="M20" s="92"/>
      <c r="N20" s="92"/>
    </row>
    <row customHeight="true" ht="32" r="21">
      <c r="A21" s="323" t="str">
        <v>卡派包税</v>
      </c>
      <c r="B21" s="323"/>
      <c r="C21" s="323"/>
      <c r="D21" s="323"/>
      <c r="E21" s="323"/>
      <c r="F21" s="323"/>
      <c r="G21" s="323"/>
      <c r="H21" s="92"/>
      <c r="I21" s="92"/>
      <c r="J21" s="92"/>
      <c r="K21" s="92"/>
      <c r="L21" s="92"/>
      <c r="M21" s="92"/>
      <c r="N21" s="92"/>
    </row>
    <row customHeight="true" ht="32" r="22">
      <c r="A22" s="319"/>
      <c r="B22" s="317"/>
      <c r="C22" s="318" t="str">
        <v>珠三角/汕头/义乌交货价</v>
      </c>
      <c r="D22" s="318"/>
      <c r="E22" s="318"/>
      <c r="F22" s="319"/>
      <c r="G22" s="317"/>
      <c r="H22" s="92"/>
      <c r="I22" s="92"/>
      <c r="J22" s="92"/>
      <c r="K22" s="92"/>
      <c r="L22" s="92"/>
      <c r="M22" s="92"/>
      <c r="N22" s="92"/>
    </row>
    <row customHeight="true" ht="61" r="23">
      <c r="A23" s="327" t="s">
        <v>9</v>
      </c>
      <c r="B23" s="307"/>
      <c r="C23" s="307" t="str">
        <v>301KG+</v>
      </c>
      <c r="D23" s="307" t="str">
        <v>501KG+</v>
      </c>
      <c r="E23" s="308" t="str">
        <v>3001KG+</v>
      </c>
      <c r="F23" s="311" t="str">
        <v>参考签收时效
（开船后）</v>
      </c>
      <c r="G23" s="309" t="str">
        <v>备注</v>
      </c>
      <c r="H23" s="92"/>
      <c r="I23" s="92"/>
      <c r="J23" s="92"/>
      <c r="K23" s="92"/>
      <c r="L23" s="92"/>
      <c r="M23" s="92"/>
      <c r="N23" s="92"/>
    </row>
    <row customHeight="true" ht="33" r="24">
      <c r="A24" s="304" t="str">
        <v>美西中转仓</v>
      </c>
      <c r="B24" s="304"/>
      <c r="C24" s="304">
        <v>7.7</v>
      </c>
      <c r="D24" s="304">
        <v>6.7</v>
      </c>
      <c r="E24" s="304">
        <v>6</v>
      </c>
      <c r="F24" s="304" t="str">
        <v>12-15个工作日</v>
      </c>
      <c r="G24" s="333" t="s">
        <v>28</v>
      </c>
      <c r="H24" s="269"/>
      <c r="I24" s="269"/>
      <c r="J24" s="92"/>
      <c r="K24" s="92"/>
      <c r="L24" s="92"/>
      <c r="M24" s="92"/>
      <c r="N24" s="92"/>
    </row>
    <row customHeight="true" ht="33" r="25">
      <c r="A25" s="311" t="str">
        <v>长岛仓11717</v>
      </c>
      <c r="B25" s="311"/>
      <c r="C25" s="308" t="str">
        <v>*</v>
      </c>
      <c r="D25" s="308">
        <v>10.6</v>
      </c>
      <c r="E25" s="308">
        <v>9.9</v>
      </c>
      <c r="F25" s="308" t="str">
        <v>19-25个工作日</v>
      </c>
      <c r="G25" s="305"/>
      <c r="H25" s="269"/>
      <c r="I25" s="269"/>
      <c r="J25" s="92"/>
      <c r="K25" s="92"/>
      <c r="L25" s="92"/>
      <c r="M25" s="92"/>
      <c r="N25" s="92"/>
    </row>
    <row customHeight="true" ht="38" r="26">
      <c r="A26" s="304" t="str">
        <v>Local派送90-91开头邮编</v>
      </c>
      <c r="B26" s="304"/>
      <c r="C26" s="304">
        <v>8.2</v>
      </c>
      <c r="D26" s="304">
        <v>7.2</v>
      </c>
      <c r="E26" s="304">
        <v>6.5</v>
      </c>
      <c r="F26" s="304" t="str">
        <v>13-17个工作日</v>
      </c>
      <c r="G26" s="305"/>
      <c r="H26" s="92"/>
      <c r="I26" s="92"/>
      <c r="J26" s="92"/>
      <c r="K26" s="92"/>
      <c r="L26" s="92"/>
      <c r="M26" s="92"/>
      <c r="N26" s="92"/>
    </row>
    <row customHeight="true" ht="36" r="27">
      <c r="A27" s="311" t="str">
        <v>wayfair仓-92571</v>
      </c>
      <c r="B27" s="311"/>
      <c r="C27" s="308">
        <v>8.8</v>
      </c>
      <c r="D27" s="308">
        <v>7.8</v>
      </c>
      <c r="E27" s="308">
        <v>6.9</v>
      </c>
      <c r="F27" s="308" t="str">
        <v>14-18个工作日</v>
      </c>
      <c r="G27" s="305"/>
      <c r="H27" s="92"/>
      <c r="I27" s="92"/>
      <c r="J27" s="92"/>
      <c r="K27" s="92"/>
      <c r="L27" s="92"/>
      <c r="M27" s="92"/>
      <c r="N27" s="92"/>
    </row>
    <row customHeight="true" ht="33" r="28">
      <c r="A28" s="304" t="str">
        <v>万邑通仓-41048</v>
      </c>
      <c r="B28" s="304"/>
      <c r="C28" s="304" t="str">
        <v>*</v>
      </c>
      <c r="D28" s="304">
        <v>11.4</v>
      </c>
      <c r="E28" s="304">
        <v>10.5</v>
      </c>
      <c r="F28" s="304" t="str">
        <v>16-20个工作日</v>
      </c>
      <c r="G28" s="305"/>
      <c r="H28" s="92"/>
      <c r="I28" s="92"/>
      <c r="J28" s="92"/>
      <c r="K28" s="92"/>
      <c r="L28" s="92"/>
      <c r="M28" s="92"/>
      <c r="N28" s="92"/>
    </row>
    <row customHeight="true" ht="40" r="29">
      <c r="A29" s="312" t="str">
        <v>快船600</v>
      </c>
      <c r="B29" s="312"/>
      <c r="C29" s="312"/>
      <c r="D29" s="312"/>
      <c r="E29" s="312"/>
      <c r="F29" s="312"/>
      <c r="G29" s="312"/>
      <c r="H29" s="92"/>
      <c r="I29" s="92"/>
      <c r="J29" s="92"/>
      <c r="K29" s="92"/>
      <c r="L29" s="92"/>
      <c r="M29" s="92"/>
      <c r="N29" s="92"/>
    </row>
    <row customHeight="true" ht="32" r="30">
      <c r="A30" s="323" t="str">
        <v>卡派包税</v>
      </c>
      <c r="B30" s="323"/>
      <c r="C30" s="323"/>
      <c r="D30" s="323"/>
      <c r="E30" s="323"/>
      <c r="F30" s="323"/>
      <c r="G30" s="323"/>
      <c r="H30" s="92"/>
      <c r="I30" s="92"/>
      <c r="J30" s="92"/>
      <c r="K30" s="92"/>
      <c r="L30" s="92"/>
      <c r="M30" s="92"/>
      <c r="N30" s="92"/>
    </row>
    <row customHeight="true" ht="32" r="31">
      <c r="A31" s="319"/>
      <c r="B31" s="317"/>
      <c r="C31" s="318" t="str">
        <v>珠三角/汕头/义乌交货价</v>
      </c>
      <c r="D31" s="318"/>
      <c r="E31" s="318"/>
      <c r="F31" s="331"/>
      <c r="G31" s="331"/>
      <c r="H31" s="92"/>
      <c r="I31" s="92"/>
      <c r="J31" s="92"/>
      <c r="K31" s="92"/>
      <c r="L31" s="92"/>
      <c r="M31" s="92"/>
      <c r="N31" s="92"/>
    </row>
    <row customHeight="true" ht="61" r="32">
      <c r="A32" s="327" t="s">
        <v>9</v>
      </c>
      <c r="B32" s="307"/>
      <c r="C32" s="307" t="str">
        <v>301KG+</v>
      </c>
      <c r="D32" s="307" t="str">
        <v>501KG+</v>
      </c>
      <c r="E32" s="308" t="str">
        <v>3001KG+</v>
      </c>
      <c r="F32" s="311" t="str">
        <v>参考签收时效
（开船后）</v>
      </c>
      <c r="G32" s="309" t="str">
        <v>备注</v>
      </c>
      <c r="H32" s="92"/>
      <c r="I32" s="92"/>
      <c r="J32" s="92"/>
      <c r="K32" s="92"/>
      <c r="L32" s="92"/>
      <c r="M32" s="92"/>
      <c r="N32" s="92"/>
    </row>
    <row customHeight="true" ht="33" r="33">
      <c r="A33" s="304" t="str">
        <v>美西中转仓</v>
      </c>
      <c r="B33" s="304"/>
      <c r="C33" s="304">
        <v>7.1</v>
      </c>
      <c r="D33" s="304">
        <v>6.1</v>
      </c>
      <c r="E33" s="304">
        <v>5.4</v>
      </c>
      <c r="F33" s="304" t="str">
        <v>22-23个自然日</v>
      </c>
      <c r="G33" s="306" t="s">
        <v>26</v>
      </c>
      <c r="H33" s="92"/>
      <c r="I33" s="92"/>
      <c r="J33" s="92"/>
      <c r="K33" s="92"/>
      <c r="L33" s="92"/>
      <c r="M33" s="92"/>
      <c r="N33" s="92"/>
    </row>
    <row customHeight="true" ht="33" r="34">
      <c r="A34" s="311" t="str">
        <v>长岛仓11717</v>
      </c>
      <c r="B34" s="311"/>
      <c r="C34" s="308" t="str">
        <v>*</v>
      </c>
      <c r="D34" s="308">
        <v>9.8</v>
      </c>
      <c r="E34" s="308">
        <v>9.1</v>
      </c>
      <c r="F34" s="308" t="str">
        <v>26-37个自然日</v>
      </c>
      <c r="G34" s="305"/>
      <c r="H34" s="92"/>
      <c r="I34" s="92"/>
      <c r="J34" s="92"/>
      <c r="K34" s="92"/>
      <c r="L34" s="92"/>
      <c r="M34" s="92"/>
      <c r="N34" s="92"/>
    </row>
    <row customHeight="true" ht="48" r="35">
      <c r="A35" s="304" t="str">
        <v>Local派送90-91开头邮编</v>
      </c>
      <c r="B35" s="304"/>
      <c r="C35" s="24">
        <v>7.6</v>
      </c>
      <c r="D35" s="24">
        <v>6.6</v>
      </c>
      <c r="E35" s="304">
        <v>5.9</v>
      </c>
      <c r="F35" s="304" t="str">
        <v>23-27个自然日</v>
      </c>
      <c r="G35" s="305"/>
      <c r="H35" s="92"/>
      <c r="I35" s="92"/>
      <c r="J35" s="92"/>
      <c r="K35" s="92"/>
      <c r="L35" s="92"/>
      <c r="M35" s="92"/>
      <c r="N35" s="92"/>
    </row>
    <row customHeight="true" ht="38" r="36">
      <c r="A36" s="311" t="str">
        <v>wayfair仓-92571</v>
      </c>
      <c r="B36" s="311"/>
      <c r="C36" s="308">
        <v>8.5</v>
      </c>
      <c r="D36" s="308">
        <v>7.5</v>
      </c>
      <c r="E36" s="308">
        <v>6.6</v>
      </c>
      <c r="F36" s="308" t="str">
        <v>23-27个自然日</v>
      </c>
      <c r="G36" s="305"/>
      <c r="H36" s="92"/>
      <c r="I36" s="92"/>
      <c r="J36" s="92"/>
      <c r="K36" s="92"/>
      <c r="L36" s="92"/>
      <c r="M36" s="92"/>
      <c r="N36" s="92"/>
    </row>
    <row customHeight="true" ht="33" r="37">
      <c r="A37" s="304" t="str">
        <v>万邑通仓-41048</v>
      </c>
      <c r="B37" s="304"/>
      <c r="C37" s="304" t="str">
        <v>*</v>
      </c>
      <c r="D37" s="304">
        <v>11</v>
      </c>
      <c r="E37" s="304">
        <v>10.1</v>
      </c>
      <c r="F37" s="304" t="str">
        <v>26-32个自然日</v>
      </c>
      <c r="G37" s="305"/>
      <c r="H37" s="92"/>
      <c r="I37" s="92"/>
      <c r="J37" s="92"/>
      <c r="K37" s="92"/>
      <c r="L37" s="92"/>
      <c r="M37" s="92"/>
      <c r="N37" s="92"/>
    </row>
    <row customHeight="true" ht="40" r="38">
      <c r="A38" s="312" t="str">
        <v>芝加哥840</v>
      </c>
      <c r="B38" s="312"/>
      <c r="C38" s="312"/>
      <c r="D38" s="312"/>
      <c r="E38" s="312"/>
      <c r="F38" s="312"/>
      <c r="G38" s="312"/>
      <c r="H38" s="92"/>
      <c r="I38" s="92"/>
      <c r="J38" s="92"/>
      <c r="K38" s="92"/>
      <c r="L38" s="92"/>
      <c r="M38" s="92"/>
      <c r="N38" s="92"/>
    </row>
    <row customHeight="true" ht="32" r="39">
      <c r="A39" s="323" t="str">
        <v>卡派包税</v>
      </c>
      <c r="B39" s="323"/>
      <c r="C39" s="323"/>
      <c r="D39" s="323"/>
      <c r="E39" s="323"/>
      <c r="F39" s="323"/>
      <c r="G39" s="323"/>
      <c r="H39" s="92"/>
      <c r="I39" s="92"/>
      <c r="J39" s="92"/>
      <c r="K39" s="92"/>
      <c r="L39" s="92"/>
      <c r="M39" s="92"/>
      <c r="N39" s="92"/>
    </row>
    <row customHeight="true" ht="32" r="40">
      <c r="A40" s="319"/>
      <c r="B40" s="317"/>
      <c r="C40" s="318" t="str">
        <v>珠三角/汕头/义乌交货价</v>
      </c>
      <c r="D40" s="318"/>
      <c r="E40" s="318"/>
      <c r="F40" s="331"/>
      <c r="G40" s="331"/>
      <c r="H40" s="92"/>
      <c r="I40" s="92"/>
      <c r="J40" s="92"/>
      <c r="K40" s="92"/>
      <c r="L40" s="92"/>
      <c r="M40" s="92"/>
      <c r="N40" s="92"/>
    </row>
    <row customHeight="true" ht="61" r="41">
      <c r="A41" s="310" t="str">
        <v>邮编                           重量段</v>
      </c>
      <c r="B41" s="307"/>
      <c r="C41" s="307" t="str">
        <v>301KG+</v>
      </c>
      <c r="D41" s="307" t="str">
        <v>1001KG+</v>
      </c>
      <c r="E41" s="308" t="str">
        <v>3001KG+</v>
      </c>
      <c r="F41" s="311" t="str">
        <v>参考签收时效
（开船后）</v>
      </c>
      <c r="G41" s="309" t="str">
        <v>备注</v>
      </c>
      <c r="H41" s="92"/>
      <c r="I41" s="92"/>
      <c r="J41" s="92"/>
      <c r="K41" s="92"/>
      <c r="L41" s="92"/>
      <c r="M41" s="92"/>
      <c r="N41" s="92"/>
    </row>
    <row customHeight="true" ht="165" r="42">
      <c r="A42" s="311" t="str">
        <v>60490,60440,60446,60564,60403,60441,60544,60435,60439,60432,60503,60491,60434,60507,60598,60543,60572,60464,60436,60431,60189,60433,60404,60505,60137,60538,60480,60568,60138,60502,60465,60525,60458,60451,60190,60462,60467,60482,60463,60455,60154,60560,60186,60512,60542,60506,60501,60148,60448,60499,60181,60454,60415,60539,60421,60459,60447,60513,60126,60185,60546,60487,60162,60402,60445,60442,60163,60141,60453,60452,60130,60472,60187,60104,60153,60101,60199,60165,60510,60164,60174,60423,60128,60132,60197,60106,60536,60105,60116,60305,60303,60188,60399,60161,60117,60545,60160,60191,60184,60103,60304,60108,60131,60481,60171,60554,60477,60172,60406,60511,60157,60541,60469,60007,60537,60144</v>
      </c>
      <c r="B42" s="311"/>
      <c r="C42" s="308" t="str">
        <v>*</v>
      </c>
      <c r="D42" s="102">
        <v>7.7</v>
      </c>
      <c r="E42" s="102">
        <v>7.2</v>
      </c>
      <c r="F42" s="308" t="str">
        <v>26-32个自然日</v>
      </c>
      <c r="G42" s="334" t="s">
        <v>29</v>
      </c>
      <c r="H42" s="321"/>
      <c r="I42" s="321"/>
      <c r="J42" s="321"/>
      <c r="K42" s="321"/>
      <c r="L42" s="321"/>
      <c r="M42" s="321"/>
      <c r="N42" s="321"/>
    </row>
    <row customHeight="true" ht="177" r="43">
      <c r="A43" s="320" t="str">
        <v>60009,60175,60183,60119,60147,60173,60176,60450,60426,60428,60193,60177,60443,60018,60120,60019,60548,60520,60068,60017,60429,60478,60168,60194,60122,60008,60133,60551,60416,60056,60196,60473,60430,60005,60121,60016,60169,60095,60407,60107,60422,60449,60471,60078,60006,60067,60476,60004,60466,60461,60425,60484,60074,60151,60038,60094,60935,60025,60412,60438,60444,60549,60029,60070,60077,60195,60192,60424,60419,60062,60950,60076,60531,60409,60026,61360,60468,60474,60065,60090,60203,60011,60475,60179,60136,60082,60010,60969,60557,60204,60112,60089,60015,60091,60411,60202,60047,60401,60201,60961,60093,60208,60479,60043,60550,60115,60069,60021,60420,60035,60022,60110,60118,60140,60013,60102,61353,60917,60518,60530</v>
      </c>
      <c r="B43" s="320"/>
      <c r="C43" s="304" t="str">
        <v>*</v>
      </c>
      <c r="D43" s="304">
        <v>8.1</v>
      </c>
      <c r="E43" s="304">
        <v>7.6</v>
      </c>
      <c r="F43" s="304" t="str">
        <v>26-33个自然日</v>
      </c>
      <c r="G43" s="305"/>
      <c r="H43" s="321"/>
      <c r="I43" s="321"/>
      <c r="J43" s="321"/>
      <c r="K43" s="321"/>
      <c r="L43" s="321"/>
      <c r="M43" s="321"/>
      <c r="N43" s="321"/>
    </row>
    <row customHeight="true" ht="135" r="44">
      <c r="A44" s="311" t="str">
        <v>60178,60045,60901,60040,60941,60437,60084,60910,60920,60037,60156,60109,60553,60039,60048,60014,60044,60111,60150,61318,60088,60042,60030,60934,60964,60460,60142,60064,60946,61325,60470,61371,60086,60073,60113,60145,61373,60135,60031,60012,60051,60922,60929,61378,60085,61372,60046,60020,60954,60940,61769,60041,60079,60146,60050,61301,61313,60087,60927,60083,60911,60129,61764,60180,61068,61350,60098,60959,61331,61367,60099,61006,61320,60930,61052,60002,60944,61329,60951,61364,61319,60956,60921,60152,61354,61316,60075,61310,61332,61038</v>
      </c>
      <c r="B44" s="311"/>
      <c r="C44" s="308" t="str">
        <v>*</v>
      </c>
      <c r="D44" s="308">
        <v>8.5</v>
      </c>
      <c r="E44" s="308">
        <v>8</v>
      </c>
      <c r="F44" s="308" t="str">
        <v>28-30个自然日</v>
      </c>
      <c r="G44" s="305"/>
      <c r="H44" s="321"/>
      <c r="I44" s="321"/>
      <c r="J44" s="321"/>
      <c r="K44" s="321"/>
      <c r="L44" s="321"/>
      <c r="M44" s="321"/>
      <c r="N44" s="321"/>
    </row>
    <row customHeight="true" ht="158" r="45">
      <c r="A45" s="320" t="str">
        <v>61317,61312,61741,60071,61016,61362,61370,61311,60034,60958,60096,61324,60912,61359,60928,61330,61743,60033,60938,61326,61333,61739,60970,61008,60968,61015,61337,61020,61334,61323,61322,61374,61012,61065,61109,61740,61315,61356,61011,60931,61726,60955,61321,61377,61091,60974,61108,61327,61061,61358,61773,61731,61126,61112,61125,61335,61084,60952,61021,61073,61753,61107,61010,60918,61064,60966,61720,61328,60924,61114,61102,60936,61111,61369,61110,61336,61054,61376,60926,61130,61131,61132,61728,61104,60953,60962,61375,60957,61081,61379,61103,61368,61115,61776,61338,61516,61541,61088,60973,61730,61758,61080,61845,60949,61037,61770,61051</v>
      </c>
      <c r="B45" s="320"/>
      <c r="C45" s="304" t="str">
        <v>*</v>
      </c>
      <c r="D45" s="304">
        <v>8.9</v>
      </c>
      <c r="E45" s="304">
        <v>8.4</v>
      </c>
      <c r="F45" s="304" t="str">
        <v>28-30个自然日</v>
      </c>
      <c r="G45" s="305"/>
      <c r="H45" s="321"/>
      <c r="I45" s="321"/>
      <c r="J45" s="321"/>
      <c r="K45" s="321"/>
      <c r="L45" s="321"/>
      <c r="M45" s="321"/>
      <c r="N45" s="321"/>
    </row>
    <row customHeight="true" ht="40" r="46">
      <c r="A46" s="312" t="str">
        <v>休斯顿866</v>
      </c>
      <c r="B46" s="312"/>
      <c r="C46" s="312"/>
      <c r="D46" s="312"/>
      <c r="E46" s="312"/>
      <c r="F46" s="312"/>
      <c r="G46" s="312"/>
      <c r="H46" s="92"/>
      <c r="I46" s="92"/>
      <c r="J46" s="92"/>
      <c r="K46" s="92"/>
      <c r="L46" s="92"/>
      <c r="M46" s="92"/>
      <c r="N46" s="92"/>
    </row>
    <row customHeight="true" ht="32" r="47">
      <c r="A47" s="323" t="str">
        <v>卡派包税</v>
      </c>
      <c r="B47" s="323"/>
      <c r="C47" s="323"/>
      <c r="D47" s="323"/>
      <c r="E47" s="323"/>
      <c r="F47" s="323"/>
      <c r="G47" s="323"/>
      <c r="H47" s="92"/>
      <c r="I47" s="92"/>
      <c r="J47" s="92"/>
      <c r="K47" s="92"/>
      <c r="L47" s="92"/>
      <c r="M47" s="92"/>
      <c r="N47" s="92"/>
    </row>
    <row customHeight="true" ht="32" r="48">
      <c r="A48" s="319"/>
      <c r="B48" s="317"/>
      <c r="C48" s="318" t="str">
        <v>珠三角/汕头/义乌交货价</v>
      </c>
      <c r="D48" s="318"/>
      <c r="E48" s="318"/>
      <c r="F48" s="331"/>
      <c r="G48" s="331"/>
      <c r="H48" s="92"/>
      <c r="I48" s="92"/>
      <c r="J48" s="92"/>
      <c r="K48" s="92"/>
      <c r="L48" s="92"/>
      <c r="M48" s="92"/>
      <c r="N48" s="92"/>
    </row>
    <row customHeight="true" ht="61" r="49">
      <c r="A49" s="310" t="str">
        <v>邮编                            重量段</v>
      </c>
      <c r="B49" s="307"/>
      <c r="C49" s="307" t="str">
        <v>301KG+</v>
      </c>
      <c r="D49" s="307" t="str">
        <v>1001KG+</v>
      </c>
      <c r="E49" s="308" t="str">
        <v>3001KG+</v>
      </c>
      <c r="F49" s="311" t="str">
        <v>参考签收时效
（开船后）</v>
      </c>
      <c r="G49" s="309" t="str">
        <v>备注</v>
      </c>
      <c r="H49" s="92"/>
      <c r="I49" s="92"/>
      <c r="J49" s="92"/>
      <c r="K49" s="92"/>
      <c r="L49" s="92"/>
      <c r="M49" s="92"/>
      <c r="N49" s="92"/>
    </row>
    <row customHeight="true" ht="65" r="50">
      <c r="A50" s="320" t="str">
        <v>77005,77487,77489,77496,77497,77545,77025,77030,77031,77035,77036,77042,77045,77047,77053,77054,77063,77071,77072,77074,77085,77096,77099,77215,77225,77230,77231,77235,77236,77242,77245,77251,77254,77263,77265,77272,77274,77401,77402,77411,77477,77478</v>
      </c>
      <c r="B50" s="320"/>
      <c r="C50" s="304" t="str">
        <v>*</v>
      </c>
      <c r="D50" s="24">
        <v>6.2</v>
      </c>
      <c r="E50" s="24">
        <v>5.7</v>
      </c>
      <c r="F50" s="304" t="str">
        <v>36-42个自然日</v>
      </c>
      <c r="G50" s="336" t="s">
        <v>33</v>
      </c>
      <c r="H50" s="92"/>
      <c r="I50" s="92"/>
      <c r="J50" s="92"/>
      <c r="K50" s="92"/>
      <c r="L50" s="92"/>
      <c r="M50" s="92"/>
      <c r="N50" s="92"/>
    </row>
    <row customHeight="true" ht="139" r="51">
      <c r="A51" s="311" t="str">
        <v>77001,77407,77002,77003,77004,77459,77006,77007,77008,77469,77009,77010,77011,77012,77578,77581,77017,77498,77018,77584,77019,77021,77023,77024,77026,77027,77033,77041,77043,77046,77048,77051,77052,77055,77056,77057,77061,77075,77077,77079,77080,77081,77082,77083,77087,77092,77098,77201,77202,77203,77204,77206,77207,77208,77210,77212,77216,77217,77218,77219,77220,77221,77223,77224,77226,77227,77233,77237,77240,77241,77243,77244,77248,77249,77252,77253,77255,77256,77257,77262,77266,77270,77271,77275,77277,77279,77280,77282,77284,77287,77288,77292,77297,77299</v>
      </c>
      <c r="B51" s="311"/>
      <c r="C51" s="308" t="str">
        <v>*</v>
      </c>
      <c r="D51" s="308">
        <v>6.4</v>
      </c>
      <c r="E51" s="308">
        <v>5.9</v>
      </c>
      <c r="F51" s="308" t="str">
        <v>36-42个自然日</v>
      </c>
      <c r="G51" s="305"/>
      <c r="H51" s="321"/>
      <c r="I51" s="321"/>
      <c r="J51" s="321"/>
      <c r="K51" s="321"/>
      <c r="L51" s="321"/>
      <c r="M51" s="321"/>
      <c r="N51" s="321"/>
    </row>
    <row customHeight="true" ht="99" r="52">
      <c r="A52" s="320" t="str">
        <v>77406,77441,77546,77549,77491,77492,77511,77512,77471,77481,77013,77494,77015,77016,77583,77020,77022,77028,77029,77034,77037,77038,77039,77040,77049,77050,77059,77060,77062,77064,77065,77066,77070,77076,77078,77084,77086,77088,77089,77093,77094,77095,77209,77213,77222,77228,77229,77234,77238,77259,77269,77289,77291,77293,77315,77413,77449,77450,77501,77502,77503,77504,77505,77506,77508,77536,77547,77587,77588,77598</v>
      </c>
      <c r="B52" s="320"/>
      <c r="C52" s="304" t="str">
        <v>*</v>
      </c>
      <c r="D52" s="304">
        <v>6.6</v>
      </c>
      <c r="E52" s="304">
        <v>6.1</v>
      </c>
      <c r="F52" s="304" t="str">
        <v>37-43个自然日</v>
      </c>
      <c r="G52" s="305"/>
      <c r="H52" s="321"/>
      <c r="I52" s="321"/>
      <c r="J52" s="321"/>
      <c r="K52" s="321"/>
      <c r="L52" s="321"/>
      <c r="M52" s="321"/>
      <c r="N52" s="321"/>
    </row>
    <row customHeight="true" ht="76" r="53">
      <c r="A53" s="311" t="str">
        <v>77510,77430,77517,77417,77518,77444,77485,77539,77451,77461,77464,77515,77476,77014,77565,77573,77574,77591,77032,77044,77058,77067,77068,77069,77073,77090,77205,77258,77267,77268,77273,77290,77338,77339,77346,77347,77379,77383,77391,77396,77410,77429,77433,77493,77507,77520,77522,77530,77562,77571,77572,77586</v>
      </c>
      <c r="B53" s="311"/>
      <c r="C53" s="308" t="str">
        <v>*</v>
      </c>
      <c r="D53" s="308">
        <v>6.8</v>
      </c>
      <c r="E53" s="308">
        <v>6.3</v>
      </c>
      <c r="F53" s="308" t="str">
        <v>39-40个自然日</v>
      </c>
      <c r="G53" s="305"/>
      <c r="H53" s="321"/>
      <c r="I53" s="321"/>
      <c r="J53" s="321"/>
      <c r="K53" s="321"/>
      <c r="L53" s="321"/>
      <c r="M53" s="321"/>
      <c r="N53" s="321"/>
    </row>
    <row customHeight="true" ht="70" r="54">
      <c r="A54" s="320" t="str">
        <v>77423,77523,77435,77580,77466,77535,77473,77486,77448,77454,77353,77534,77354,77355,77488,77357,77577,77568,77362,77365,77590,77380,77336,77337,77345,77373,77375,77377,77381,77386,77387,77388,77389,77393,77447,77484,77521,77532,77592</v>
      </c>
      <c r="B54" s="320"/>
      <c r="C54" s="304" t="str">
        <v>*</v>
      </c>
      <c r="D54" s="304">
        <v>6.8</v>
      </c>
      <c r="E54" s="304">
        <v>6.1</v>
      </c>
      <c r="F54" s="304" t="str">
        <v>39-40个自然日</v>
      </c>
      <c r="G54" s="305"/>
      <c r="H54" s="321"/>
      <c r="I54" s="321"/>
      <c r="J54" s="321"/>
      <c r="K54" s="321"/>
      <c r="L54" s="321"/>
      <c r="M54" s="321"/>
      <c r="N54" s="321"/>
    </row>
    <row customHeight="true" ht="40" r="55">
      <c r="A55" s="312" t="str">
        <v>萨凡纳888</v>
      </c>
      <c r="B55" s="312"/>
      <c r="C55" s="312"/>
      <c r="D55" s="312"/>
      <c r="E55" s="312"/>
      <c r="F55" s="312"/>
      <c r="G55" s="312"/>
      <c r="H55" s="92"/>
      <c r="I55" s="92"/>
      <c r="J55" s="92"/>
      <c r="K55" s="92"/>
      <c r="L55" s="92"/>
      <c r="M55" s="92"/>
      <c r="N55" s="92"/>
    </row>
    <row customHeight="true" ht="32" r="56">
      <c r="A56" s="323" t="str">
        <v>卡派包税</v>
      </c>
      <c r="B56" s="323"/>
      <c r="C56" s="323"/>
      <c r="D56" s="323"/>
      <c r="E56" s="323"/>
      <c r="F56" s="323"/>
      <c r="G56" s="323"/>
      <c r="H56" s="92"/>
      <c r="I56" s="92"/>
      <c r="J56" s="92"/>
      <c r="K56" s="92"/>
      <c r="L56" s="92"/>
      <c r="M56" s="92"/>
      <c r="N56" s="92"/>
    </row>
    <row customHeight="true" ht="32" r="57">
      <c r="A57" s="319"/>
      <c r="B57" s="317"/>
      <c r="C57" s="318" t="str">
        <v>珠三角/汕头/义乌交货价</v>
      </c>
      <c r="D57" s="318"/>
      <c r="E57" s="318"/>
      <c r="F57" s="331"/>
      <c r="G57" s="331"/>
      <c r="H57" s="92"/>
      <c r="I57" s="92"/>
      <c r="J57" s="92"/>
      <c r="K57" s="92"/>
      <c r="L57" s="92"/>
      <c r="M57" s="92"/>
      <c r="N57" s="92"/>
    </row>
    <row customHeight="true" ht="61" r="58">
      <c r="A58" s="327" t="s">
        <v>30</v>
      </c>
      <c r="B58" s="307"/>
      <c r="C58" s="307" t="str">
        <v>301KG+</v>
      </c>
      <c r="D58" s="307" t="str">
        <v>1001KG+</v>
      </c>
      <c r="E58" s="308" t="str">
        <v>3001KG+</v>
      </c>
      <c r="F58" s="311" t="str">
        <v>参考签收时效
（开船后）</v>
      </c>
      <c r="G58" s="309" t="str">
        <v>备注</v>
      </c>
      <c r="H58" s="92"/>
      <c r="I58" s="92"/>
      <c r="J58" s="92"/>
      <c r="K58" s="92"/>
      <c r="L58" s="92"/>
      <c r="M58" s="92"/>
      <c r="N58" s="92"/>
    </row>
    <row customHeight="true" ht="38" r="59">
      <c r="A59" s="320" t="str">
        <v>31302,31407,31322</v>
      </c>
      <c r="B59" s="320"/>
      <c r="C59" s="304" t="str">
        <v>*</v>
      </c>
      <c r="D59" s="24">
        <v>6.5</v>
      </c>
      <c r="E59" s="24">
        <v>6</v>
      </c>
      <c r="F59" s="304" t="str">
        <v>38-45个自然日</v>
      </c>
      <c r="G59" s="336" t="s">
        <v>31</v>
      </c>
      <c r="H59" s="92"/>
      <c r="I59" s="92"/>
      <c r="J59" s="92"/>
      <c r="K59" s="92"/>
      <c r="L59" s="92"/>
      <c r="M59" s="92"/>
      <c r="N59" s="92"/>
    </row>
    <row customHeight="true" ht="47" r="60">
      <c r="A60" s="311" t="str">
        <v>31312,31308,31404,31401,31414,31421,31403,31405,31412,31402,31326,31415,31408,31318,31307</v>
      </c>
      <c r="B60" s="311"/>
      <c r="C60" s="308" t="str">
        <v>*</v>
      </c>
      <c r="D60" s="308">
        <v>6.7</v>
      </c>
      <c r="E60" s="308">
        <v>6.2</v>
      </c>
      <c r="F60" s="308" t="str">
        <v>38-45个自然日</v>
      </c>
      <c r="G60" s="322"/>
      <c r="H60" s="321"/>
      <c r="I60" s="321"/>
      <c r="J60" s="321"/>
      <c r="K60" s="321"/>
      <c r="L60" s="321"/>
      <c r="M60" s="321"/>
      <c r="N60" s="321"/>
    </row>
    <row customHeight="true" ht="42" r="61">
      <c r="A61" s="320" t="str">
        <v>31328,31411,31321,31303,30415,31329,31406,31410,31409,31420</v>
      </c>
      <c r="B61" s="320"/>
      <c r="C61" s="304" t="str">
        <v>*</v>
      </c>
      <c r="D61" s="304">
        <v>6.9</v>
      </c>
      <c r="E61" s="304">
        <v>6.4</v>
      </c>
      <c r="F61" s="304" t="str">
        <v>38-45个自然日</v>
      </c>
      <c r="G61" s="322"/>
      <c r="H61" s="321"/>
      <c r="I61" s="321"/>
      <c r="J61" s="321"/>
      <c r="K61" s="321"/>
      <c r="L61" s="321"/>
      <c r="M61" s="321"/>
      <c r="N61" s="321"/>
    </row>
    <row customHeight="true" ht="44" r="62">
      <c r="A62" s="311" t="str">
        <v>30423,31314,30449,31315,30446,31320,31324</v>
      </c>
      <c r="B62" s="311"/>
      <c r="C62" s="308" t="str">
        <v>*</v>
      </c>
      <c r="D62" s="308">
        <v>7.1</v>
      </c>
      <c r="E62" s="308">
        <v>6.6</v>
      </c>
      <c r="F62" s="308" t="str">
        <v>38-45个自然日</v>
      </c>
      <c r="G62" s="322"/>
      <c r="H62" s="321"/>
      <c r="I62" s="321"/>
      <c r="J62" s="321"/>
      <c r="K62" s="321"/>
      <c r="L62" s="321"/>
      <c r="M62" s="321"/>
      <c r="N62" s="321"/>
    </row>
    <row customHeight="true" ht="47" r="63">
      <c r="A63" s="320" t="str">
        <v>30467,31331,30424,30429,30417,31333,30460,30414,30452,30461,30458,30459,31313,31323,31310</v>
      </c>
      <c r="B63" s="320"/>
      <c r="C63" s="304" t="str">
        <v>*</v>
      </c>
      <c r="D63" s="304">
        <v>7.3</v>
      </c>
      <c r="E63" s="304">
        <v>6.8</v>
      </c>
      <c r="F63" s="304" t="str">
        <v>40-47个自然日</v>
      </c>
      <c r="G63" s="322"/>
      <c r="H63" s="321"/>
      <c r="I63" s="321"/>
      <c r="J63" s="321"/>
      <c r="K63" s="321"/>
      <c r="L63" s="321"/>
      <c r="M63" s="321"/>
      <c r="N63" s="321"/>
    </row>
    <row customHeight="true" ht="44" r="64">
      <c r="A64" s="311" t="str">
        <v>31319,30450,30427,30421,30439,31316,31304,30438,30451</v>
      </c>
      <c r="B64" s="311"/>
      <c r="C64" s="308" t="str">
        <v>*</v>
      </c>
      <c r="D64" s="308">
        <v>7.5</v>
      </c>
      <c r="E64" s="308">
        <v>7</v>
      </c>
      <c r="F64" s="308" t="str">
        <v>40-47个自然日</v>
      </c>
      <c r="G64" s="322"/>
      <c r="H64" s="321"/>
      <c r="I64" s="321"/>
      <c r="J64" s="321"/>
      <c r="K64" s="321"/>
      <c r="L64" s="321"/>
      <c r="M64" s="321"/>
      <c r="N64" s="321"/>
    </row>
    <row customHeight="true" ht="38" r="65">
      <c r="A65" s="320" t="str">
        <v>31599,30464,31327,30420,31305,31545,30455</v>
      </c>
      <c r="B65" s="320"/>
      <c r="C65" s="304" t="str">
        <v>*</v>
      </c>
      <c r="D65" s="304">
        <v>7.7</v>
      </c>
      <c r="E65" s="304">
        <v>7.2</v>
      </c>
      <c r="F65" s="304" t="str">
        <v>40-47个自然日</v>
      </c>
      <c r="G65" s="322"/>
      <c r="H65" s="321"/>
      <c r="I65" s="321"/>
      <c r="J65" s="321"/>
      <c r="K65" s="321"/>
      <c r="L65" s="321"/>
      <c r="M65" s="321"/>
      <c r="N65" s="321"/>
    </row>
    <row customHeight="true" ht="46" r="66">
      <c r="A66" s="311" t="str">
        <v>30448,31560,30454,31523,31521,30474,30426,30475,31598,31546,30456,31520,30822,30471,30442,30436,30425</v>
      </c>
      <c r="B66" s="311"/>
      <c r="C66" s="308" t="str">
        <v>*</v>
      </c>
      <c r="D66" s="308">
        <v>7.9</v>
      </c>
      <c r="E66" s="308">
        <v>7.4</v>
      </c>
      <c r="F66" s="308" t="str">
        <v>40-47个自然日</v>
      </c>
      <c r="G66" s="322"/>
      <c r="H66" s="321"/>
      <c r="I66" s="321"/>
      <c r="J66" s="321"/>
      <c r="K66" s="321"/>
      <c r="L66" s="321"/>
      <c r="M66" s="321"/>
      <c r="N66" s="321"/>
    </row>
    <row customHeight="true" ht="47" r="67">
      <c r="A67" s="320" t="str">
        <v>31551,31049,31569,30477,31553,31516,30454,31557,31002,31522,31518,31566,31561,30457,30470,30441,31565,31556,30412,30473,30410</v>
      </c>
      <c r="B67" s="320"/>
      <c r="C67" s="304" t="str">
        <v>*</v>
      </c>
      <c r="D67" s="304">
        <v>8.2</v>
      </c>
      <c r="E67" s="304">
        <v>7.7</v>
      </c>
      <c r="F67" s="304" t="str">
        <v>40-47个自然日</v>
      </c>
      <c r="G67" s="322"/>
      <c r="H67" s="321"/>
      <c r="I67" s="321"/>
      <c r="J67" s="321"/>
      <c r="K67" s="321"/>
      <c r="L67" s="321"/>
      <c r="M67" s="321"/>
      <c r="N67" s="321"/>
    </row>
    <row customHeight="true" ht="40" r="68">
      <c r="A68" s="312" t="str">
        <v>美东960</v>
      </c>
      <c r="B68" s="312"/>
      <c r="C68" s="312"/>
      <c r="D68" s="312"/>
      <c r="E68" s="312"/>
      <c r="F68" s="312"/>
      <c r="G68" s="312"/>
      <c r="H68" s="92"/>
      <c r="I68" s="92"/>
      <c r="J68" s="92"/>
      <c r="K68" s="92"/>
      <c r="L68" s="92"/>
      <c r="M68" s="92"/>
      <c r="N68" s="92"/>
    </row>
    <row customHeight="true" ht="32" r="69">
      <c r="A69" s="323" t="str">
        <v>卡派包税</v>
      </c>
      <c r="B69" s="323"/>
      <c r="C69" s="323"/>
      <c r="D69" s="323"/>
      <c r="E69" s="323"/>
      <c r="F69" s="323"/>
      <c r="G69" s="323"/>
      <c r="H69" s="92"/>
      <c r="I69" s="92"/>
      <c r="J69" s="92"/>
      <c r="K69" s="92"/>
      <c r="L69" s="92"/>
      <c r="M69" s="92"/>
      <c r="N69" s="92"/>
    </row>
    <row customHeight="true" ht="32" r="70">
      <c r="A70" s="319"/>
      <c r="B70" s="317"/>
      <c r="C70" s="318" t="str">
        <v>珠三角/汕头/义乌交货价</v>
      </c>
      <c r="D70" s="318"/>
      <c r="E70" s="318"/>
      <c r="F70" s="331"/>
      <c r="G70" s="331"/>
      <c r="H70" s="92"/>
      <c r="I70" s="92"/>
      <c r="J70" s="92"/>
      <c r="K70" s="92"/>
      <c r="L70" s="92"/>
      <c r="M70" s="92"/>
      <c r="N70" s="92"/>
    </row>
    <row customHeight="true" ht="61" r="71">
      <c r="A71" s="327" t="s">
        <v>32</v>
      </c>
      <c r="B71" s="307"/>
      <c r="C71" s="307" t="str">
        <v>301KG+</v>
      </c>
      <c r="D71" s="307" t="str">
        <v>501KG+</v>
      </c>
      <c r="E71" s="308" t="str">
        <v>3001KG+</v>
      </c>
      <c r="F71" s="311" t="str">
        <v>参考签收时效
（开船后）</v>
      </c>
      <c r="G71" s="309" t="str">
        <v>备注</v>
      </c>
      <c r="H71" s="92"/>
      <c r="I71" s="92"/>
      <c r="J71" s="92"/>
      <c r="K71" s="92"/>
      <c r="L71" s="92"/>
      <c r="M71" s="92"/>
      <c r="N71" s="92"/>
    </row>
    <row customHeight="true" ht="43" r="72">
      <c r="A72" s="320" t="str">
        <v>长岛仓11717</v>
      </c>
      <c r="B72" s="320"/>
      <c r="C72" s="304" t="str">
        <v>*</v>
      </c>
      <c r="D72" s="304">
        <v>6.8</v>
      </c>
      <c r="E72" s="304">
        <v>6.3</v>
      </c>
      <c r="F72" s="304" t="str">
        <v>38-45个自然日</v>
      </c>
      <c r="G72" s="326" t="s">
        <v>31</v>
      </c>
      <c r="H72" s="92"/>
      <c r="I72" s="92"/>
      <c r="J72" s="92"/>
      <c r="K72" s="92"/>
      <c r="L72" s="92"/>
      <c r="M72" s="92"/>
      <c r="N72" s="92"/>
    </row>
    <row customHeight="true" ht="105" r="73">
      <c r="A73" s="311" t="str">
        <v>08818,08817,08832,08840,07080,08830,08861,08862,08854,08055,08859,08989,08902,08846,08880,07027,07091,07203,08828,07033,07023,07036,08872,07016,07204,07059,08805,08875,08857,07747,07206,08823,07069,08852,07735,08824,07207,07208,07201,08904,07095,07067,08906,07077,08901,07001,08879,08850,07064,07061,07065,08882,08855,07076,07063,07060,08816,07066,08871,08933,07062</v>
      </c>
      <c r="B73" s="311"/>
      <c r="C73" s="308" t="str">
        <v>*</v>
      </c>
      <c r="D73" s="102">
        <v>6.1</v>
      </c>
      <c r="E73" s="102">
        <v>5.6</v>
      </c>
      <c r="F73" s="308" t="str">
        <v>38-45个自然日</v>
      </c>
      <c r="G73" s="326"/>
      <c r="H73" s="92"/>
      <c r="I73" s="92"/>
      <c r="J73" s="92"/>
      <c r="K73" s="92"/>
      <c r="L73" s="92"/>
      <c r="M73" s="92"/>
      <c r="N73" s="92"/>
    </row>
    <row customHeight="true" ht="135" r="74">
      <c r="A74" s="324" t="str">
        <v>07083,07090,08873,07730,07202,08810,07205,07111,07980,07112,08812,07019,07902,07921,08544,07051,07738,07003,07028,07701,08836,07092,08835,07922,07733,08890,07946,07734,07765,07081,07088,07933,07974,07939,08528,08512,08831,07751,07746,07758,07040,07748,07103,08807,08869,08553,07928,08536,07002,07018,08844,07718,07726,07108,07106,07041,07976,08542,08540,07101,07192,07193,07175,07184,07188,07191,07198,07195,07017,07978,07102,07105,07901,08541,08543,08502,07114,07029,07920,07737,08876,08821,07477,07107,07050,07039,07752,08520,08504,07395,07032,07189,07763,07716,07104,07099,07305,08558,07728</v>
      </c>
      <c r="B74" s="324"/>
      <c r="C74" s="325" t="str">
        <v>*</v>
      </c>
      <c r="D74" s="325">
        <v>6.3</v>
      </c>
      <c r="E74" s="325">
        <v>5.8</v>
      </c>
      <c r="F74" s="304" t="str">
        <v>38-45个自然日</v>
      </c>
      <c r="G74" s="326"/>
      <c r="H74" s="92"/>
      <c r="I74" s="92"/>
      <c r="J74" s="92"/>
      <c r="K74" s="92"/>
      <c r="L74" s="92"/>
      <c r="M74" s="92"/>
      <c r="N74" s="92"/>
    </row>
    <row customHeight="true" ht="210" r="75">
      <c r="A75" s="311" t="str">
        <v>07702,07977,07704,08619,08648,07934,07979,08638,08691,07930,08628,08801,07109,08550,07303,07304,07306,08888,07052,07960,07710,07938,07311,07931,07940,07110,08535,07031,07302,08853,07308,07739,07042,07087,07945,07310,07935,07932,07307,08887,07760,08889,07724,07044,07703,07068,08858,07096,07013,08525,07097,07926,07030,07012,07086,07043,08555,07094,07055,07009,07073,08561,07732,07764,08690,07047,07021,07750,08833,07799,08863,07015,07007,07011,07533,07093,07070,07924,07072,07014,07424,08602,08603,07927,08625,07755,07753,07936,07006,07071,07057,08695,07740,08666,07544,07962,07963,08646,08647,07731,08650,07712,07503,08629,08604,08605,08606,08607,08645,07999,08609,07961,07522,08551,07512,08610,07022,08601,07513,08510,07543,07074,07660,07075,08822,07505,07510,08608,07981,07754,08534,07524,07504,07538,07058,07514,07010,08530,07650,07657,07407,07699,07509,07723,07950,07502,07511,07501,07026,08620,07606,07604,07034,07727,07608,07711,07720,07663</v>
      </c>
      <c r="B75" s="311"/>
      <c r="C75" s="308" t="str">
        <v>*</v>
      </c>
      <c r="D75" s="308">
        <v>6.5</v>
      </c>
      <c r="E75" s="308">
        <v>6</v>
      </c>
      <c r="F75" s="308" t="str">
        <v>38-45个自然日</v>
      </c>
      <c r="G75" s="326"/>
      <c r="H75" s="92"/>
      <c r="I75" s="92"/>
      <c r="J75" s="92"/>
      <c r="K75" s="92"/>
      <c r="L75" s="92"/>
      <c r="M75" s="92"/>
      <c r="N75" s="92"/>
    </row>
    <row customHeight="true" ht="210" r="76">
      <c r="A76" s="324" t="str">
        <v>08829,08501,07836,07853,07870,08730,08809,08827,08724,07803,08826,08738,07020,07605,07004,07878,07603,07054,07719,07666,07662,07607,08527,07035,08720,07602,07024,08560,07507,08701,07715,07644,07717,07474,07508,07440,07452,08559,07845,07876,07631,07970,08736,07653,07410,07470,07046,08526,07506,08557,08514,07444,08803,08868,07670,07661,07762,07646,07621,07005,07045,07865,07649,08750,07601,08562,07652,08903,08820,07442,07869,08867,08742,07628,08505,08515,07834,08511,07626,07630,07457,08022,08755,07423,07676,07806,08556,07481,07641,07866,07620,08802,08518,07852,07847,08825,07677,07857,07417,08533,07831,07885,07420,07850,07627,07432,07828,08041,07840,07436,07463,07656,07842,08733,07458,07880,08723,07645,08804,07802,07401,07675,07874,07465,07403,07821,07446,08739,08834,08016,08848,07820,07640,07624,08641,08042,08640,07882,07856,07843,07648,08757,08722,08735,08060,07801,07435,07647,08011,07456,07632,07838,08808,08073,08886,07495</v>
      </c>
      <c r="B76" s="324"/>
      <c r="C76" s="325" t="str">
        <v>*</v>
      </c>
      <c r="D76" s="325">
        <v>6.7</v>
      </c>
      <c r="E76" s="325">
        <v>6.2</v>
      </c>
      <c r="F76" s="304" t="str">
        <v>38-45个自然日</v>
      </c>
      <c r="G76" s="326"/>
      <c r="H76" s="92"/>
      <c r="I76" s="92"/>
      <c r="J76" s="92"/>
      <c r="K76" s="92"/>
      <c r="L76" s="92"/>
      <c r="M76" s="92"/>
      <c r="N76" s="92"/>
    </row>
    <row customHeight="true" ht="45" r="77">
      <c r="A77" s="311" t="str">
        <v>10307,10309,10312,10308,10313,10314,10306,10311,10303,10302,10304,10310,10301,10305,11252,11209,11209,11228</v>
      </c>
      <c r="B77" s="311"/>
      <c r="C77" s="308" t="str">
        <v>*</v>
      </c>
      <c r="D77" s="308">
        <v>6.9</v>
      </c>
      <c r="E77" s="308">
        <v>6.4</v>
      </c>
      <c r="F77" s="308" t="str">
        <v>40-48个自然日</v>
      </c>
      <c r="G77" s="326"/>
      <c r="H77" s="92"/>
      <c r="I77" s="92"/>
      <c r="J77" s="92"/>
      <c r="K77" s="92"/>
      <c r="L77" s="92"/>
      <c r="M77" s="92"/>
      <c r="N77" s="92"/>
    </row>
    <row customHeight="true" ht="364" r="78">
      <c r="A78" s="324" t="str">
        <v>11214,11204,11232,11224,11223,11218,10007,11231,11242,11215,11241,11202,10013,10081,10090,11217,10004,10006,10008,10045,10080,10113,10114,10002,11235,11226,11225,10014,10159,10003,10005,10123,10160,10001,10018,10109,10110,10116,10117,10118,10119,10121,10122,10156,10009,11201,11229,11238,11245,11230,11243,11213,10041,10043,10150,10152,10154,10020,10101,10103,10104,10106,10111,10112,10129,10138,10163,10164,10171,10173,10174,10060,10087,10105,10107,10108,10120,10133,10151,10153,10157,10168,10169,10170,10172,10016,10017,10019,10055,10102,11216,11251,11205,11211,10158,10132,10023,10155,10024,10065,10022,10131,11233,11210,10162,10021,10075,10028,11206,11695,11109,11101,11222,11236,11694,10128,10130,11104,11237,10025,10069,10026,10027,10029,11212,11239,11234,10115,10030,10044,11378,11207,11377,11373,11256,11414,11379,11417,11692,11374,11372,11120,10032,10040,11380,11370,11416,11208,11106,11103,11385,10031,10039,10453,10034,11421,11105,11371,11375,11418,11102,11419,11690,11368,11369,10161,10456,10468,10451,10033,11381,11693,11386,11436,11244,11352,10471,11355,11434,11430,10463,10472,10459,10454,10460,11367,11499,11691,11413,11415,10455,10457,10462,10474,11365,11451,11366,11435,11354,10705,11432,11422,11425,11412,11433,11439,11255,10702,10035,10473,10470,10467,10467,10465,10458,11424,11351,11431,11405,11358,11582,10466,10704,11357,11581,11592,11356,11096,11411,10461,11423,11364,11362,11428,11240,11427,10475,10469,10701,11429,11594,10703,11595,11598,11426,10964,11020,11003,11363,11580,11004,10965,10464,11559,10708,11563,10552,10976,11557,10551,11002,11005,10710,10803,11001,10553,11509,10550,11027,10968,10954,10977,11042,11254,11597</v>
      </c>
      <c r="B78" s="324"/>
      <c r="C78" s="325" t="str">
        <v>*</v>
      </c>
      <c r="D78" s="325">
        <v>7.1</v>
      </c>
      <c r="E78" s="325">
        <v>6.6</v>
      </c>
      <c r="F78" s="304" t="str">
        <v>40-48个自然日</v>
      </c>
      <c r="G78" s="326"/>
      <c r="H78" s="92"/>
      <c r="I78" s="92"/>
      <c r="J78" s="92"/>
      <c r="K78" s="92"/>
      <c r="L78" s="92"/>
      <c r="M78" s="92"/>
      <c r="N78" s="92"/>
    </row>
    <row customHeight="true" ht="231" r="79">
      <c r="A79" s="311" t="str">
        <v>10982,11040,11010,11010,11565,10707,11026,10801,10706,10522,10962,10983,10805,11507,11024,11552,10709,11577,10901,10804,10994,11596,10502,11550,11571,11551,11576,11558,11570,10913,10931,11530,10960,11549,11501,11531,11572,10503,10538,10530,10974,11575,11051,11052,11599,10533,11553,10583,10989,11556,11548,11055,11053,11050,10523,10956,10543,10528,11514,11054,11547,10606,11510,11555,10920,10601,11853,11545,10602,10605,11579,10979,11554,10607,11590,11520,10532,11542,10580,10595,11802,11801,10577,10573,10927,11710,10925,11815,11793,10970,10923,10984,10591,10603,11756,10987,10610,10604,11560,11732,11773,11803,11791,11797,11783,10975,10594,10993,11758,11762,10910,10570,11771,11747,11714,11775,10510,11735,11804,11701,11709,11765,10986,10562,11561,11724,11726,10514,10990,10950,10959,11757,11746,11707,11798,10917,10560,11703,10545,10520,10912,10911,11743,10969,10926,10922,11721,11729,11740,11702,10980,11795,10949,11718,10549,10521,10507,10928,11731,11706,10918,10598,11725,11717,10988,10548,10566</v>
      </c>
      <c r="B79" s="311"/>
      <c r="C79" s="308" t="str">
        <v>*</v>
      </c>
      <c r="D79" s="308">
        <v>7.3</v>
      </c>
      <c r="E79" s="308">
        <v>6.8</v>
      </c>
      <c r="F79" s="308" t="str">
        <v>40-48个自然日</v>
      </c>
      <c r="G79" s="332"/>
      <c r="H79" s="92"/>
      <c r="I79" s="92"/>
      <c r="J79" s="92"/>
      <c r="K79" s="92"/>
      <c r="L79" s="92"/>
      <c r="M79" s="92"/>
      <c r="N79" s="92"/>
    </row>
    <row customHeight="true" ht="83" r="80">
      <c r="A80" s="330" t="str">
        <v>自2025年5月12日起
符合美国清关第232条款的钢铁制品、铝制品关税附加费加收0.5元/KG；</v>
      </c>
      <c r="B80" s="328"/>
      <c r="C80" s="328"/>
      <c r="D80" s="328"/>
      <c r="E80" s="328"/>
      <c r="F80" s="328"/>
      <c r="G80" s="329"/>
    </row>
    <row customHeight="true" ht="36" r="81">
      <c r="A81" s="342" t="str">
        <v>需加收产品及杂费</v>
      </c>
      <c r="B81" s="339"/>
      <c r="C81" s="340" t="str">
        <v>加收金额</v>
      </c>
      <c r="D81" s="339" t="str">
        <v>备注</v>
      </c>
      <c r="E81" s="339"/>
      <c r="F81" s="339"/>
      <c r="G81" s="341"/>
      <c r="H81" s="92"/>
      <c r="I81" s="92"/>
      <c r="J81" s="92"/>
      <c r="K81" s="92"/>
      <c r="L81" s="92"/>
      <c r="M81" s="92"/>
      <c r="N81" s="92"/>
      <c r="O81" s="92"/>
      <c r="P81" s="92"/>
      <c r="Q81" s="92"/>
      <c r="R81" s="92"/>
      <c r="S81" s="92"/>
      <c r="T81" s="92"/>
    </row>
    <row customHeight="true" ht="38" r="82">
      <c r="A82" s="313" t="str">
        <v>除高价值，高关税产品，其余普通产品无附加费</v>
      </c>
      <c r="B82" s="314"/>
      <c r="C82" s="315" t="str">
        <v>无附加费</v>
      </c>
      <c r="D82" s="314" t="str">
        <v>由于产品本身专利或知识产权问题产生扣关，货物退回等后续问题由客户承担，我司保留追究的权力。</v>
      </c>
      <c r="E82" s="314"/>
      <c r="F82" s="314"/>
      <c r="G82" s="316"/>
      <c r="H82" s="92"/>
      <c r="I82" s="92"/>
      <c r="J82" s="92"/>
      <c r="K82" s="92"/>
      <c r="L82" s="92"/>
      <c r="M82" s="92"/>
      <c r="N82" s="92"/>
      <c r="O82" s="92"/>
      <c r="P82" s="92"/>
      <c r="Q82" s="92"/>
      <c r="R82" s="92"/>
      <c r="S82" s="92"/>
      <c r="T82" s="92"/>
    </row>
    <row customHeight="true" ht="51" r="83">
      <c r="A83" s="313" t="str">
        <v>木制品、蓝牙产品、激光类产品、UL产品</v>
      </c>
      <c r="B83" s="314"/>
      <c r="C83" s="315" t="str">
        <v>+1/KG</v>
      </c>
      <c r="D83" s="314" t="str">
        <v>FDA类产品，海关可能会查验。由于客户提供错误的FDA ID. 产生扣关，关税，货物退回等后续问题由客户承担，我司并保留追究的权力</v>
      </c>
      <c r="E83" s="314"/>
      <c r="F83" s="314"/>
      <c r="G83" s="316"/>
      <c r="H83" s="92"/>
      <c r="I83" s="92"/>
      <c r="J83" s="92"/>
      <c r="K83" s="92"/>
      <c r="L83" s="92"/>
      <c r="M83" s="92"/>
      <c r="N83" s="92"/>
      <c r="O83" s="92"/>
      <c r="P83" s="92"/>
      <c r="Q83" s="92"/>
      <c r="R83" s="92"/>
      <c r="S83" s="92"/>
      <c r="T83" s="92"/>
    </row>
    <row customHeight="true" ht="55" r="84">
      <c r="A84" s="313" t="str">
        <v>化工品（指甲胶、精油、口红、眼影，卸妆水、洗发水等）</v>
      </c>
      <c r="B84" s="314"/>
      <c r="C84" s="315" t="str">
        <v>+2/KG</v>
      </c>
      <c r="D84" s="314" t="str">
        <v>提供真实有效期内商检、MSDS认证视为普货，无需附加费（证书是否有效以相关部门是否认可为准）</v>
      </c>
      <c r="E84" s="314"/>
      <c r="F84" s="314"/>
      <c r="G84" s="316"/>
      <c r="H84" s="92"/>
      <c r="I84" s="92"/>
      <c r="J84" s="92"/>
      <c r="K84" s="92"/>
      <c r="L84" s="92"/>
      <c r="M84" s="92"/>
      <c r="N84" s="92"/>
      <c r="O84" s="92"/>
      <c r="P84" s="92"/>
      <c r="Q84" s="92"/>
      <c r="R84" s="92"/>
      <c r="S84" s="92"/>
      <c r="T84" s="92"/>
    </row>
    <row customHeight="true" ht="52" r="85">
      <c r="A85" s="313" t="str">
        <v>国内贴标费</v>
      </c>
      <c r="B85" s="314"/>
      <c r="C85" s="315" t="str">
        <v>1元/张</v>
      </c>
      <c r="D85" s="314" t="str">
        <v>为了准确快捷入库，请尽量配合贴好入仓标签/FBA标签/SKU标签等，因未贴标签或未及时告知导致仓库未能及时入库延误船期的我司概不负责</v>
      </c>
      <c r="E85" s="314"/>
      <c r="F85" s="314"/>
      <c r="G85" s="316"/>
      <c r="H85" s="92"/>
      <c r="I85" s="92"/>
      <c r="J85" s="92"/>
      <c r="K85" s="92"/>
      <c r="L85" s="92"/>
      <c r="M85" s="92"/>
      <c r="N85" s="92"/>
      <c r="O85" s="92"/>
      <c r="P85" s="92"/>
      <c r="Q85" s="92"/>
      <c r="R85" s="92"/>
      <c r="S85" s="92"/>
      <c r="T85" s="92"/>
    </row>
    <row customHeight="true" ht="55" r="86">
      <c r="A86" s="313" t="str">
        <v>报价未注明的产品，请将提供产品信息给我司客服或业务进行核实是否有附加费</v>
      </c>
      <c r="B86" s="314"/>
      <c r="C86" s="315" t="str">
        <v>待确定</v>
      </c>
      <c r="D86" s="314" t="str">
        <v>因美对华加增2000亿美金关税影响，请单独询问销售</v>
      </c>
      <c r="E86" s="314"/>
      <c r="F86" s="314"/>
      <c r="G86" s="316"/>
      <c r="H86" s="92"/>
      <c r="I86" s="92"/>
      <c r="J86" s="92"/>
      <c r="K86" s="92"/>
      <c r="L86" s="92"/>
      <c r="M86" s="92"/>
      <c r="N86" s="92"/>
      <c r="O86" s="92"/>
      <c r="P86" s="92"/>
      <c r="Q86" s="92"/>
      <c r="R86" s="92"/>
      <c r="S86" s="92"/>
      <c r="T86" s="92"/>
    </row>
    <row customHeight="true" ht="32" r="87">
      <c r="A87" s="338" t="str">
        <v>优势:自主装柜，海运市场优质后端，信誉清关行，快捷海外转运派送。</v>
      </c>
      <c r="B87" s="338"/>
      <c r="C87" s="338"/>
      <c r="D87" s="338"/>
      <c r="E87" s="338"/>
      <c r="F87" s="338"/>
      <c r="G87" s="338"/>
      <c r="H87" s="92"/>
      <c r="I87" s="92"/>
      <c r="J87" s="92"/>
      <c r="K87" s="92"/>
      <c r="L87" s="92"/>
      <c r="M87" s="92"/>
      <c r="N87" s="92"/>
      <c r="O87" s="92"/>
      <c r="P87" s="92"/>
      <c r="Q87" s="92"/>
      <c r="R87" s="92"/>
      <c r="S87" s="92"/>
      <c r="T87" s="92"/>
    </row>
    <row customHeight="true" ht="32" r="88">
      <c r="A88" s="337" t="str">
        <v>注明：每周报价表为实时报价，不可控因素或市场变化调节过大时，升或降以到仓价格为准。</v>
      </c>
      <c r="B88" s="337"/>
      <c r="C88" s="337"/>
      <c r="D88" s="337"/>
      <c r="E88" s="337"/>
      <c r="F88" s="337"/>
      <c r="G88" s="337"/>
      <c r="H88" s="92"/>
      <c r="I88" s="92"/>
      <c r="J88" s="92"/>
      <c r="K88" s="92"/>
      <c r="L88" s="92"/>
      <c r="M88" s="92"/>
      <c r="N88" s="92"/>
      <c r="O88" s="92"/>
      <c r="P88" s="92"/>
      <c r="Q88" s="92"/>
      <c r="R88" s="92"/>
      <c r="S88" s="92"/>
      <c r="T88" s="92"/>
    </row>
    <row customHeight="true" ht="32" r="89">
      <c r="A89" s="335" t="str">
        <v>包税附加费，未列明产品请跟业务联系</v>
      </c>
      <c r="B89" s="335"/>
      <c r="C89" s="335"/>
      <c r="D89" s="335"/>
      <c r="E89" s="335"/>
      <c r="F89" s="335"/>
      <c r="G89" s="335"/>
      <c r="H89" s="92"/>
      <c r="I89" s="92"/>
      <c r="J89" s="92"/>
      <c r="K89" s="92"/>
      <c r="L89" s="92"/>
      <c r="M89" s="92"/>
      <c r="N89" s="92"/>
      <c r="O89" s="92"/>
      <c r="P89" s="92"/>
      <c r="Q89" s="92"/>
      <c r="R89" s="92"/>
      <c r="S89" s="92"/>
      <c r="T89" s="92"/>
    </row>
    <row customHeight="true" ht="53" r="90">
      <c r="A90" s="313" t="str">
        <v>单证报关250/票，单票超5个品名以上+50RMB/个
卡派超限附加费：最长边不可超过120CM,次长边不可超过100CM，超长附加单价*1.1倍计算。单箱实重超过30KG单询</v>
      </c>
      <c r="B90" s="314"/>
      <c r="C90" s="314"/>
      <c r="D90" s="314"/>
      <c r="E90" s="314"/>
      <c r="F90" s="314"/>
      <c r="G90" s="316"/>
      <c r="H90" s="92"/>
      <c r="I90" s="92"/>
      <c r="J90" s="92"/>
      <c r="K90" s="92"/>
      <c r="L90" s="92"/>
      <c r="M90" s="92"/>
      <c r="N90" s="92"/>
      <c r="O90" s="92"/>
      <c r="P90" s="92"/>
      <c r="Q90" s="92"/>
      <c r="R90" s="92"/>
      <c r="S90" s="92"/>
      <c r="T90" s="92"/>
    </row>
    <row customHeight="true" ht="51" r="91">
      <c r="A91" s="315" t="str">
        <v>温馨提示：请按我司提供的样板提供电子版发票和装箱单如实申报，如因申报品名/申报数量/申报单价/申报材质/申报HS等不符造成的清关问题，我司概不负责
（清关延误不算在正常派送日内）</v>
      </c>
      <c r="B91" s="315"/>
      <c r="C91" s="315"/>
      <c r="D91" s="315"/>
      <c r="E91" s="315"/>
      <c r="F91" s="315"/>
      <c r="G91" s="315"/>
      <c r="H91" s="92"/>
      <c r="I91" s="92"/>
    </row>
  </sheetData>
  <mergeCells>
    <mergeCell ref="A2:G2"/>
    <mergeCell ref="A3:G3"/>
    <mergeCell ref="A4:B4"/>
    <mergeCell ref="C4:E4"/>
    <mergeCell ref="F4:G4"/>
    <mergeCell ref="A5:B5"/>
    <mergeCell ref="A6:B6"/>
    <mergeCell ref="A7:B7"/>
    <mergeCell ref="A8:B8"/>
    <mergeCell ref="A9:B9"/>
    <mergeCell ref="A10:B10"/>
    <mergeCell ref="A11:G11"/>
    <mergeCell ref="A12:G12"/>
    <mergeCell ref="A13:B13"/>
    <mergeCell ref="C13:E13"/>
    <mergeCell ref="F13:G13"/>
    <mergeCell ref="A14:B14"/>
    <mergeCell ref="A15:B15"/>
    <mergeCell ref="A16:B16"/>
    <mergeCell ref="A17:B17"/>
    <mergeCell ref="A18:B18"/>
    <mergeCell ref="A19:B19"/>
    <mergeCell ref="A20:G20"/>
    <mergeCell ref="A21:G21"/>
    <mergeCell ref="A22:B22"/>
    <mergeCell ref="C22:E22"/>
    <mergeCell ref="F22:G22"/>
    <mergeCell ref="A23:B23"/>
    <mergeCell ref="A24:B24"/>
    <mergeCell ref="A25:B25"/>
    <mergeCell ref="A26:B26"/>
    <mergeCell ref="A27:B27"/>
    <mergeCell ref="A28:B28"/>
    <mergeCell ref="A29:G29"/>
    <mergeCell ref="A30:G30"/>
    <mergeCell ref="A31:B31"/>
    <mergeCell ref="C31:E31"/>
    <mergeCell ref="F31:G31"/>
    <mergeCell ref="A32:B32"/>
    <mergeCell ref="A33:B33"/>
    <mergeCell ref="A34:B34"/>
    <mergeCell ref="A35:B35"/>
    <mergeCell ref="A36:B36"/>
    <mergeCell ref="A37:B37"/>
    <mergeCell ref="A38:G38"/>
    <mergeCell ref="A39:G39"/>
    <mergeCell ref="A40:B40"/>
    <mergeCell ref="C40:E40"/>
    <mergeCell ref="F40:G40"/>
    <mergeCell ref="A41:B41"/>
    <mergeCell ref="A42:B42"/>
    <mergeCell ref="A43:B43"/>
    <mergeCell ref="A44:B44"/>
    <mergeCell ref="A45:B45"/>
    <mergeCell ref="A46:G46"/>
    <mergeCell ref="A47:G47"/>
    <mergeCell ref="A48:B48"/>
    <mergeCell ref="C48:E48"/>
    <mergeCell ref="F48:G48"/>
    <mergeCell ref="A49:B49"/>
    <mergeCell ref="A50:B50"/>
    <mergeCell ref="A51:B51"/>
    <mergeCell ref="A52:B52"/>
    <mergeCell ref="A53:B53"/>
    <mergeCell ref="A54:B54"/>
    <mergeCell ref="A55:G55"/>
    <mergeCell ref="A56:G56"/>
    <mergeCell ref="A57:B57"/>
    <mergeCell ref="C57:E57"/>
    <mergeCell ref="F57:G57"/>
    <mergeCell ref="A58:B58"/>
    <mergeCell ref="A59:B59"/>
    <mergeCell ref="A60:B60"/>
    <mergeCell ref="A61:B61"/>
    <mergeCell ref="A62:B62"/>
    <mergeCell ref="A63:B63"/>
    <mergeCell ref="A64:B64"/>
    <mergeCell ref="A65:B65"/>
    <mergeCell ref="A66:B66"/>
    <mergeCell ref="A67:B67"/>
    <mergeCell ref="A68:G68"/>
    <mergeCell ref="A69:G69"/>
    <mergeCell ref="A70:B70"/>
    <mergeCell ref="C70:E70"/>
    <mergeCell ref="F70:G70"/>
    <mergeCell ref="A71:B71"/>
    <mergeCell ref="A72:B72"/>
    <mergeCell ref="A73:B73"/>
    <mergeCell ref="A74:B74"/>
    <mergeCell ref="A75:B75"/>
    <mergeCell ref="A76:B76"/>
    <mergeCell ref="A77:B77"/>
    <mergeCell ref="A78:B78"/>
    <mergeCell ref="A79:B79"/>
    <mergeCell ref="A80:G80"/>
    <mergeCell ref="A81:B81"/>
    <mergeCell ref="D81:G81"/>
    <mergeCell ref="A82:B82"/>
    <mergeCell ref="D82:G82"/>
    <mergeCell ref="A83:B83"/>
    <mergeCell ref="D83:G83"/>
    <mergeCell ref="A84:B84"/>
    <mergeCell ref="D84:G84"/>
    <mergeCell ref="A85:B85"/>
    <mergeCell ref="D85:G85"/>
    <mergeCell ref="A86:B86"/>
    <mergeCell ref="D86:G86"/>
    <mergeCell ref="A87:G87"/>
    <mergeCell ref="A88:G88"/>
    <mergeCell ref="A89:G89"/>
    <mergeCell ref="A90:G90"/>
    <mergeCell ref="A91:G91"/>
    <mergeCell ref="G6:G10"/>
    <mergeCell ref="G15:G19"/>
    <mergeCell ref="G24:G28"/>
    <mergeCell ref="G33:G37"/>
    <mergeCell ref="G42:G45"/>
    <mergeCell ref="G50:G54"/>
    <mergeCell ref="G59:G67"/>
    <mergeCell ref="G72:G79"/>
  </mergeCells>
  <drawing r:id="rId1"/>
  <picture r:id="rId2"/>
</worksheet>
</file>

<file path=xl/worksheets/sheet1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FFD966"/>
    <outlinePr summaryBelow="false" summaryRight="false"/>
  </sheetPr>
  <dimension ref="A1"/>
  <sheetViews>
    <sheetView showGridLines="true" workbookViewId="0"/>
  </sheetViews>
  <sheetFormatPr defaultColWidth="14" defaultRowHeight="19"/>
  <cols>
    <col collapsed="false" customWidth="true" hidden="false" max="1" min="1" style="0" width="16"/>
    <col collapsed="false" customWidth="true" hidden="false" max="2" min="2" style="0" width="17"/>
    <col collapsed="false" customWidth="true" hidden="false" max="3" min="3" style="0" width="28"/>
    <col collapsed="false" customWidth="true" hidden="false" max="4" min="4" style="0" width="28"/>
    <col collapsed="false" customWidth="true" hidden="false" max="5" min="5" style="0" width="28"/>
    <col collapsed="false" customWidth="true" hidden="false" max="6" min="6" style="0" width="45"/>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s>
  <sheetData>
    <row customHeight="true" ht="128" r="1">
      <c r="A1" s="303"/>
      <c r="B1" s="303"/>
      <c r="C1" s="303"/>
      <c r="D1" s="303"/>
      <c r="E1" s="303"/>
      <c r="F1" s="13"/>
    </row>
    <row customHeight="true" ht="49" r="2">
      <c r="A2" s="208" t="str">
        <v>美森360快递派</v>
      </c>
      <c r="B2" s="208"/>
      <c r="C2" s="208"/>
      <c r="D2" s="208"/>
      <c r="E2" s="208"/>
      <c r="F2" s="208"/>
    </row>
    <row customHeight="true" ht="33" r="3">
      <c r="A3" s="118"/>
      <c r="B3" s="120"/>
      <c r="C3" s="119" t="str">
        <v>珠三角/汕头/义乌交货价</v>
      </c>
      <c r="D3" s="119"/>
      <c r="E3" s="119"/>
      <c r="F3" s="119"/>
    </row>
    <row customHeight="true" ht="49" r="4">
      <c r="A4" s="192" t="s">
        <v>7</v>
      </c>
      <c r="B4" s="102"/>
      <c r="C4" s="126" t="str">
        <v>12KG+</v>
      </c>
      <c r="D4" s="126" t="str">
        <v>51KG+</v>
      </c>
      <c r="E4" s="102" t="str">
        <v>101KG+</v>
      </c>
      <c r="F4" s="102" t="str">
        <v>承诺提取时效</v>
      </c>
    </row>
    <row customHeight="true" ht="40" r="5">
      <c r="A5" s="24" t="str">
        <v>90,91</v>
      </c>
      <c r="B5" s="24"/>
      <c r="C5" s="24">
        <v>15.9</v>
      </c>
      <c r="D5" s="24">
        <v>14.9</v>
      </c>
      <c r="E5" s="24">
        <v>13.4</v>
      </c>
      <c r="F5" s="285" t="s">
        <v>41</v>
      </c>
    </row>
    <row customHeight="true" ht="40" r="6">
      <c r="A6" s="102" t="str">
        <v>8,92-99</v>
      </c>
      <c r="B6" s="102"/>
      <c r="C6" s="102">
        <v>16.4</v>
      </c>
      <c r="D6" s="102">
        <v>15.4</v>
      </c>
      <c r="E6" s="102">
        <v>13.9</v>
      </c>
      <c r="F6" s="352"/>
    </row>
    <row customHeight="true" ht="40" r="7">
      <c r="A7" s="24" t="str">
        <v>5,6,7</v>
      </c>
      <c r="B7" s="24"/>
      <c r="C7" s="24">
        <v>16.9</v>
      </c>
      <c r="D7" s="24">
        <v>15.9</v>
      </c>
      <c r="E7" s="24">
        <v>14.4</v>
      </c>
      <c r="F7" s="352"/>
    </row>
    <row customHeight="true" ht="40" r="8">
      <c r="A8" s="102" t="str">
        <v>0,1,2,3,4</v>
      </c>
      <c r="B8" s="102"/>
      <c r="C8" s="102">
        <v>17.9</v>
      </c>
      <c r="D8" s="102">
        <v>16.9</v>
      </c>
      <c r="E8" s="102">
        <v>15.4</v>
      </c>
      <c r="F8" s="353"/>
    </row>
    <row customHeight="true" ht="38" r="9">
      <c r="A9" s="346" t="s">
        <v>35</v>
      </c>
      <c r="B9" s="346"/>
      <c r="C9" s="346"/>
      <c r="D9" s="346"/>
      <c r="E9" s="346"/>
      <c r="F9" s="346"/>
    </row>
    <row customHeight="true" ht="49" r="10">
      <c r="A10" s="208" t="str">
        <v>美森432快递派</v>
      </c>
      <c r="B10" s="208"/>
      <c r="C10" s="208"/>
      <c r="D10" s="208"/>
      <c r="E10" s="208"/>
      <c r="F10" s="208"/>
    </row>
    <row customHeight="true" ht="33" r="11">
      <c r="A11" s="118"/>
      <c r="B11" s="120"/>
      <c r="C11" s="119" t="str">
        <v>珠三角/汕头/义乌交货价</v>
      </c>
      <c r="D11" s="119"/>
      <c r="E11" s="119"/>
      <c r="F11" s="119"/>
    </row>
    <row customHeight="true" ht="49" r="12">
      <c r="A12" s="192" t="s">
        <v>7</v>
      </c>
      <c r="B12" s="102"/>
      <c r="C12" s="126" t="str">
        <v>12KG+</v>
      </c>
      <c r="D12" s="126" t="str">
        <v>51KG+</v>
      </c>
      <c r="E12" s="102" t="str">
        <v>101KG+</v>
      </c>
      <c r="F12" s="102" t="str">
        <v>承诺提取时效</v>
      </c>
    </row>
    <row customHeight="true" ht="40" r="13">
      <c r="A13" s="24" t="str">
        <v>90,91</v>
      </c>
      <c r="B13" s="24"/>
      <c r="C13" s="24">
        <v>15.4</v>
      </c>
      <c r="D13" s="24">
        <v>14.4</v>
      </c>
      <c r="E13" s="24">
        <v>12.9</v>
      </c>
      <c r="F13" s="285" t="s">
        <v>42</v>
      </c>
    </row>
    <row customHeight="true" ht="40" r="14">
      <c r="A14" s="102" t="str">
        <v>8,92-99</v>
      </c>
      <c r="B14" s="102"/>
      <c r="C14" s="102">
        <v>15.9</v>
      </c>
      <c r="D14" s="102">
        <v>14.9</v>
      </c>
      <c r="E14" s="102">
        <v>13.4</v>
      </c>
      <c r="F14" s="352"/>
    </row>
    <row customHeight="true" ht="40" r="15">
      <c r="A15" s="24" t="str">
        <v>5,6,7</v>
      </c>
      <c r="B15" s="24"/>
      <c r="C15" s="24">
        <v>16.4</v>
      </c>
      <c r="D15" s="24">
        <v>15.4</v>
      </c>
      <c r="E15" s="24">
        <v>13.9</v>
      </c>
      <c r="F15" s="352"/>
    </row>
    <row customHeight="true" ht="40" r="16">
      <c r="A16" s="102" t="str">
        <v>0,1,2,3,4</v>
      </c>
      <c r="B16" s="102"/>
      <c r="C16" s="102">
        <v>17.4</v>
      </c>
      <c r="D16" s="102">
        <v>16.4</v>
      </c>
      <c r="E16" s="102">
        <v>14.9</v>
      </c>
      <c r="F16" s="353"/>
    </row>
    <row customHeight="true" ht="38" r="17">
      <c r="A17" s="346" t="s">
        <v>39</v>
      </c>
      <c r="B17" s="346"/>
      <c r="C17" s="346"/>
      <c r="D17" s="346"/>
      <c r="E17" s="346"/>
      <c r="F17" s="346"/>
    </row>
    <row customHeight="true" ht="36" r="18">
      <c r="A18" s="351" t="s">
        <v>40</v>
      </c>
      <c r="B18" s="351"/>
      <c r="C18" s="351"/>
      <c r="D18" s="351"/>
      <c r="E18" s="351"/>
      <c r="F18" s="351"/>
      <c r="G18" s="92"/>
      <c r="H18" s="92"/>
      <c r="I18" s="92"/>
      <c r="J18" s="92"/>
      <c r="K18" s="92"/>
      <c r="L18" s="92"/>
      <c r="M18" s="92"/>
      <c r="N18" s="92"/>
      <c r="O18" s="92"/>
      <c r="P18" s="92"/>
      <c r="Q18" s="92"/>
      <c r="R18" s="92"/>
      <c r="S18" s="92"/>
      <c r="T18" s="92"/>
    </row>
    <row customHeight="true" ht="33" r="19">
      <c r="A19" s="118"/>
      <c r="B19" s="120"/>
      <c r="C19" s="119" t="str">
        <v>珠三角/汕头/义乌交货价</v>
      </c>
      <c r="D19" s="119"/>
      <c r="E19" s="119"/>
      <c r="F19" s="119"/>
    </row>
    <row customHeight="true" ht="49" r="20">
      <c r="A20" s="192" t="s">
        <v>7</v>
      </c>
      <c r="B20" s="102"/>
      <c r="C20" s="126" t="str">
        <v>12KG+</v>
      </c>
      <c r="D20" s="126" t="str">
        <v>51KG+</v>
      </c>
      <c r="E20" s="102" t="str">
        <v>101KG+</v>
      </c>
      <c r="F20" s="102" t="str">
        <v>承诺提取时效</v>
      </c>
    </row>
    <row customHeight="true" ht="40" r="21">
      <c r="A21" s="24" t="str">
        <v>90,91</v>
      </c>
      <c r="B21" s="24"/>
      <c r="C21" s="24">
        <v>10.5</v>
      </c>
      <c r="D21" s="24">
        <v>9.5</v>
      </c>
      <c r="E21" s="24">
        <v>8</v>
      </c>
      <c r="F21" s="285" t="s">
        <v>43</v>
      </c>
    </row>
    <row customHeight="true" ht="40" r="22">
      <c r="A22" s="102" t="str">
        <v>8,92-99</v>
      </c>
      <c r="B22" s="102"/>
      <c r="C22" s="102">
        <v>11</v>
      </c>
      <c r="D22" s="102">
        <v>10</v>
      </c>
      <c r="E22" s="102">
        <v>8.5</v>
      </c>
      <c r="F22" s="352"/>
    </row>
    <row customHeight="true" ht="40" r="23">
      <c r="A23" s="24" t="str">
        <v>5,6,7</v>
      </c>
      <c r="B23" s="24"/>
      <c r="C23" s="24">
        <v>11.5</v>
      </c>
      <c r="D23" s="24">
        <v>10.5</v>
      </c>
      <c r="E23" s="24">
        <v>9</v>
      </c>
      <c r="F23" s="352"/>
    </row>
    <row customHeight="true" ht="38" r="24">
      <c r="A24" s="102" t="str">
        <v>0,1,2,3,4</v>
      </c>
      <c r="B24" s="102"/>
      <c r="C24" s="102">
        <v>12.5</v>
      </c>
      <c r="D24" s="102">
        <v>11.5</v>
      </c>
      <c r="E24" s="102">
        <v>10</v>
      </c>
      <c r="F24" s="353"/>
    </row>
    <row customHeight="true" ht="36" r="25">
      <c r="A25" s="347" t="s">
        <v>36</v>
      </c>
      <c r="B25" s="347"/>
      <c r="C25" s="347"/>
      <c r="D25" s="347"/>
      <c r="E25" s="347"/>
      <c r="F25" s="347"/>
      <c r="G25" s="92"/>
      <c r="H25" s="92"/>
      <c r="I25" s="92"/>
      <c r="J25" s="92"/>
      <c r="K25" s="92"/>
      <c r="L25" s="92"/>
      <c r="M25" s="92"/>
      <c r="N25" s="92"/>
      <c r="O25" s="92"/>
      <c r="P25" s="92"/>
      <c r="Q25" s="92"/>
      <c r="R25" s="92"/>
      <c r="S25" s="92"/>
      <c r="T25" s="92"/>
    </row>
    <row customHeight="true" ht="36" r="26">
      <c r="A26" s="351" t="str">
        <v>快船600快递派</v>
      </c>
      <c r="B26" s="351"/>
      <c r="C26" s="351"/>
      <c r="D26" s="351"/>
      <c r="E26" s="351"/>
      <c r="F26" s="351"/>
      <c r="G26" s="92"/>
      <c r="H26" s="92"/>
      <c r="I26" s="92"/>
      <c r="J26" s="92"/>
      <c r="K26" s="92"/>
      <c r="L26" s="92"/>
      <c r="M26" s="92"/>
      <c r="N26" s="92"/>
      <c r="O26" s="92"/>
      <c r="P26" s="92"/>
      <c r="Q26" s="92"/>
      <c r="R26" s="92"/>
      <c r="S26" s="92"/>
      <c r="T26" s="92"/>
    </row>
    <row customHeight="true" ht="36" r="27">
      <c r="A27" s="276"/>
      <c r="B27" s="276"/>
      <c r="C27" s="119" t="str">
        <v>珠三角/汕头/义乌交货价</v>
      </c>
      <c r="D27" s="119"/>
      <c r="E27" s="119"/>
      <c r="F27" s="276"/>
      <c r="G27" s="92"/>
      <c r="H27" s="92"/>
      <c r="I27" s="92"/>
      <c r="J27" s="92"/>
      <c r="K27" s="92"/>
      <c r="L27" s="92"/>
      <c r="M27" s="92"/>
      <c r="N27" s="92"/>
      <c r="O27" s="92"/>
      <c r="P27" s="92"/>
      <c r="Q27" s="92"/>
      <c r="R27" s="92"/>
      <c r="S27" s="92"/>
      <c r="T27" s="92"/>
    </row>
    <row customHeight="true" ht="57" r="28">
      <c r="A28" s="192" t="s">
        <v>7</v>
      </c>
      <c r="B28" s="102"/>
      <c r="C28" s="126" t="str">
        <v>12KG+</v>
      </c>
      <c r="D28" s="126" t="str">
        <v>51KG+</v>
      </c>
      <c r="E28" s="102" t="str">
        <v>101KG+</v>
      </c>
      <c r="F28" s="102" t="str">
        <v>承诺提取时效</v>
      </c>
      <c r="G28" s="269"/>
      <c r="H28" s="269"/>
      <c r="I28" s="269"/>
      <c r="J28" s="269"/>
      <c r="K28" s="269"/>
      <c r="L28" s="269"/>
      <c r="M28" s="269"/>
      <c r="N28" s="269"/>
      <c r="O28" s="269"/>
      <c r="P28" s="269"/>
      <c r="Q28" s="269"/>
      <c r="R28" s="269"/>
      <c r="S28" s="269"/>
      <c r="T28" s="269"/>
    </row>
    <row customHeight="true" ht="36" r="29">
      <c r="A29" s="24" t="str">
        <v>90,91</v>
      </c>
      <c r="B29" s="24"/>
      <c r="C29" s="24">
        <v>10.1</v>
      </c>
      <c r="D29" s="24">
        <v>9.1</v>
      </c>
      <c r="E29" s="24">
        <v>7.6</v>
      </c>
      <c r="F29" s="285" t="s">
        <v>44</v>
      </c>
      <c r="G29" s="92"/>
      <c r="H29" s="92"/>
      <c r="I29" s="92"/>
      <c r="J29" s="92"/>
      <c r="K29" s="269"/>
      <c r="L29" s="269"/>
      <c r="M29" s="269"/>
      <c r="N29" s="269"/>
      <c r="O29" s="269"/>
      <c r="P29" s="269"/>
      <c r="Q29" s="269"/>
      <c r="R29" s="269"/>
      <c r="S29" s="269"/>
      <c r="T29" s="269"/>
    </row>
    <row customHeight="true" ht="36" r="30">
      <c r="A30" s="102" t="str">
        <v>8,92-99</v>
      </c>
      <c r="B30" s="102"/>
      <c r="C30" s="102">
        <v>10.6</v>
      </c>
      <c r="D30" s="102">
        <v>9.6</v>
      </c>
      <c r="E30" s="102">
        <v>8.1</v>
      </c>
      <c r="F30" s="352"/>
      <c r="G30" s="92"/>
      <c r="H30" s="92"/>
      <c r="I30" s="92"/>
      <c r="J30" s="92"/>
      <c r="K30" s="269"/>
      <c r="L30" s="269"/>
      <c r="M30" s="269"/>
      <c r="N30" s="269"/>
      <c r="O30" s="269"/>
      <c r="P30" s="269"/>
      <c r="Q30" s="269"/>
      <c r="R30" s="269"/>
      <c r="S30" s="269"/>
      <c r="T30" s="269"/>
    </row>
    <row customHeight="true" ht="36" r="31">
      <c r="A31" s="24" t="str">
        <v>5,6,7</v>
      </c>
      <c r="B31" s="24"/>
      <c r="C31" s="24">
        <v>11.1</v>
      </c>
      <c r="D31" s="24">
        <v>10.1</v>
      </c>
      <c r="E31" s="24">
        <v>8.6</v>
      </c>
      <c r="F31" s="352"/>
      <c r="G31" s="92"/>
      <c r="H31" s="92"/>
      <c r="I31" s="92"/>
      <c r="J31" s="92"/>
      <c r="K31" s="321"/>
      <c r="L31" s="321"/>
      <c r="M31" s="321"/>
      <c r="N31" s="321"/>
      <c r="O31" s="321"/>
      <c r="P31" s="321"/>
      <c r="Q31" s="321"/>
      <c r="R31" s="321"/>
      <c r="S31" s="321"/>
      <c r="T31" s="321"/>
    </row>
    <row customHeight="true" ht="36" r="32">
      <c r="A32" s="102" t="str">
        <v>0,1,2,3,4</v>
      </c>
      <c r="B32" s="102"/>
      <c r="C32" s="102">
        <v>12.1</v>
      </c>
      <c r="D32" s="102">
        <v>11.1</v>
      </c>
      <c r="E32" s="102">
        <v>9.6</v>
      </c>
      <c r="F32" s="353"/>
      <c r="G32" s="92"/>
      <c r="H32" s="92"/>
      <c r="I32" s="92"/>
      <c r="J32" s="92"/>
      <c r="K32" s="92"/>
      <c r="L32" s="92"/>
      <c r="M32" s="92"/>
      <c r="N32" s="92"/>
      <c r="O32" s="92"/>
      <c r="P32" s="92"/>
      <c r="Q32" s="92"/>
      <c r="R32" s="92"/>
      <c r="S32" s="92"/>
      <c r="T32" s="92"/>
    </row>
    <row customHeight="true" ht="44" r="33">
      <c r="A33" s="348" t="s">
        <v>37</v>
      </c>
      <c r="B33" s="348"/>
      <c r="C33" s="348"/>
      <c r="D33" s="348"/>
      <c r="E33" s="348"/>
      <c r="F33" s="348"/>
      <c r="G33" s="269"/>
      <c r="H33" s="269"/>
      <c r="I33" s="269"/>
      <c r="J33" s="269"/>
      <c r="K33" s="92"/>
      <c r="L33" s="92"/>
      <c r="M33" s="92"/>
      <c r="N33" s="92"/>
      <c r="O33" s="92"/>
      <c r="P33" s="92"/>
      <c r="Q33" s="92"/>
      <c r="R33" s="92"/>
      <c r="S33" s="92"/>
      <c r="T33" s="92"/>
    </row>
    <row customHeight="true" ht="36" r="34">
      <c r="A34" s="351" t="str">
        <v>美东960快递派</v>
      </c>
      <c r="B34" s="351"/>
      <c r="C34" s="351"/>
      <c r="D34" s="351"/>
      <c r="E34" s="351"/>
      <c r="F34" s="351"/>
      <c r="G34" s="92"/>
      <c r="H34" s="92"/>
      <c r="I34" s="92"/>
      <c r="J34" s="92"/>
      <c r="K34" s="92"/>
      <c r="L34" s="92"/>
      <c r="M34" s="92"/>
      <c r="N34" s="92"/>
      <c r="O34" s="92"/>
      <c r="P34" s="92"/>
      <c r="Q34" s="92"/>
      <c r="R34" s="92"/>
      <c r="S34" s="92"/>
      <c r="T34" s="92"/>
    </row>
    <row customHeight="true" ht="36" r="35">
      <c r="A35" s="276"/>
      <c r="B35" s="276"/>
      <c r="C35" s="119" t="str">
        <v>珠三角/汕头/义乌交货价</v>
      </c>
      <c r="D35" s="119"/>
      <c r="E35" s="119"/>
      <c r="F35" s="276"/>
      <c r="G35" s="92"/>
      <c r="H35" s="92"/>
      <c r="I35" s="92"/>
      <c r="J35" s="92"/>
      <c r="K35" s="92"/>
      <c r="L35" s="92"/>
      <c r="M35" s="92"/>
      <c r="N35" s="92"/>
      <c r="O35" s="92"/>
      <c r="P35" s="92"/>
      <c r="Q35" s="92"/>
      <c r="R35" s="92"/>
      <c r="S35" s="92"/>
      <c r="T35" s="92"/>
    </row>
    <row customHeight="true" ht="57" r="36">
      <c r="A36" s="192" t="s">
        <v>7</v>
      </c>
      <c r="B36" s="102"/>
      <c r="C36" s="126" t="str">
        <v>12KG+</v>
      </c>
      <c r="D36" s="126" t="str">
        <v>51KG+</v>
      </c>
      <c r="E36" s="102" t="str">
        <v>101KG+</v>
      </c>
      <c r="F36" s="102" t="str">
        <v>参考提取时效</v>
      </c>
      <c r="G36" s="269"/>
      <c r="H36" s="269"/>
      <c r="I36" s="269"/>
      <c r="J36" s="269"/>
      <c r="K36" s="269"/>
      <c r="L36" s="269"/>
      <c r="M36" s="269"/>
      <c r="N36" s="269"/>
      <c r="O36" s="269"/>
      <c r="P36" s="269"/>
      <c r="Q36" s="269"/>
      <c r="R36" s="269"/>
      <c r="S36" s="269"/>
      <c r="T36" s="269"/>
    </row>
    <row customHeight="true" ht="36" r="37">
      <c r="A37" s="24" t="str">
        <v>0,1,2,3</v>
      </c>
      <c r="B37" s="24"/>
      <c r="C37" s="24">
        <v>13.9</v>
      </c>
      <c r="D37" s="24">
        <v>11.9</v>
      </c>
      <c r="E37" s="24">
        <v>9.9</v>
      </c>
      <c r="F37" s="106" t="str">
        <v>开船后35-40个自然日提取</v>
      </c>
      <c r="G37" s="92"/>
      <c r="H37" s="92"/>
      <c r="I37" s="92"/>
      <c r="J37" s="92"/>
      <c r="K37" s="269"/>
      <c r="L37" s="269"/>
      <c r="M37" s="269"/>
      <c r="N37" s="269"/>
      <c r="O37" s="269"/>
      <c r="P37" s="269"/>
      <c r="Q37" s="269"/>
      <c r="R37" s="269"/>
      <c r="S37" s="269"/>
      <c r="T37" s="269"/>
    </row>
    <row customHeight="true" ht="36" r="38">
      <c r="A38" s="102" t="str">
        <v>4,5,6,7</v>
      </c>
      <c r="B38" s="102"/>
      <c r="C38" s="102">
        <v>14.9</v>
      </c>
      <c r="D38" s="102">
        <v>12.9</v>
      </c>
      <c r="E38" s="102">
        <v>10.9</v>
      </c>
      <c r="F38" s="126" t="str">
        <v>开船后35-40个自然日提取</v>
      </c>
      <c r="G38" s="92"/>
      <c r="H38" s="92"/>
      <c r="I38" s="92"/>
      <c r="J38" s="92"/>
      <c r="K38" s="321"/>
      <c r="L38" s="321"/>
      <c r="M38" s="321"/>
      <c r="N38" s="321"/>
      <c r="O38" s="321"/>
      <c r="P38" s="321"/>
      <c r="Q38" s="321"/>
      <c r="R38" s="321"/>
      <c r="S38" s="321"/>
      <c r="T38" s="321"/>
    </row>
    <row customHeight="true" ht="44" r="39">
      <c r="A39" s="348" t="str">
        <v>选用ZIM/COSCO/EMC美东航线，盐田直达纽约港</v>
      </c>
      <c r="B39" s="348"/>
      <c r="C39" s="348"/>
      <c r="D39" s="348"/>
      <c r="E39" s="348"/>
      <c r="F39" s="348"/>
      <c r="G39" s="269"/>
      <c r="H39" s="269"/>
      <c r="I39" s="269"/>
      <c r="J39" s="269"/>
      <c r="K39" s="92"/>
      <c r="L39" s="92"/>
      <c r="M39" s="92"/>
      <c r="N39" s="92"/>
      <c r="O39" s="92"/>
      <c r="P39" s="92"/>
      <c r="Q39" s="92"/>
      <c r="R39" s="92"/>
      <c r="S39" s="92"/>
      <c r="T39" s="92"/>
    </row>
    <row customHeight="true" ht="57" r="40">
      <c r="A40" s="354" t="str">
        <v>快递派非FBA商业地址+1元/KG，住宅地址+2元/KG。单件计费重最低12KG起，不足12KG按12KG计费，后端UPS/Fedex快递派送。体积/6000</v>
      </c>
      <c r="B40" s="354"/>
      <c r="C40" s="354"/>
      <c r="D40" s="354"/>
      <c r="E40" s="354"/>
      <c r="F40" s="354"/>
      <c r="K40" s="92"/>
      <c r="L40" s="92"/>
      <c r="M40" s="92"/>
      <c r="N40" s="92"/>
      <c r="O40" s="92"/>
      <c r="P40" s="92"/>
      <c r="Q40" s="92"/>
      <c r="R40" s="92"/>
      <c r="S40" s="92"/>
      <c r="T40" s="92"/>
    </row>
    <row customHeight="true" ht="71" r="41">
      <c r="A41" s="344" t="s">
        <v>34</v>
      </c>
      <c r="B41" s="345"/>
      <c r="C41" s="345"/>
      <c r="D41" s="344" t="str">
        <v>快递派超限附加费：单件实重不可超过22KG,超过22KG或单边长超过110cm，或次长超过75cm加收160RMB/件，周长大于260CM小于320厘米加收180元/件
地址修正费180元/件</v>
      </c>
      <c r="E41" s="344"/>
      <c r="F41" s="344"/>
      <c r="G41" s="92"/>
      <c r="H41" s="92"/>
      <c r="I41" s="92"/>
      <c r="J41" s="92"/>
      <c r="K41" s="92"/>
      <c r="L41" s="92"/>
      <c r="M41" s="92"/>
      <c r="N41" s="92"/>
      <c r="O41" s="92"/>
      <c r="P41" s="92"/>
      <c r="Q41" s="92"/>
      <c r="R41" s="92"/>
      <c r="S41" s="92"/>
      <c r="T41" s="92"/>
    </row>
    <row customHeight="true" ht="71" r="42">
      <c r="A42" s="350" t="s">
        <v>38</v>
      </c>
      <c r="B42" s="349"/>
      <c r="C42" s="349"/>
      <c r="D42" s="349"/>
      <c r="E42" s="349"/>
      <c r="F42" s="349"/>
      <c r="G42" s="92"/>
      <c r="H42" s="92"/>
      <c r="I42" s="92"/>
      <c r="J42" s="92"/>
      <c r="K42" s="92"/>
      <c r="L42" s="92"/>
      <c r="M42" s="92"/>
      <c r="N42" s="92"/>
      <c r="O42" s="92"/>
      <c r="P42" s="92"/>
      <c r="Q42" s="92"/>
      <c r="R42" s="92"/>
      <c r="S42" s="92"/>
      <c r="T42" s="92"/>
    </row>
    <row customHeight="true" ht="78" r="43">
      <c r="A43" s="42" t="str">
        <v>自2025年5月12日起
符合美国清关第232条款的钢铁制品、铝制品关税附加费加收0.5元/KG；</v>
      </c>
      <c r="B43" s="42"/>
      <c r="C43" s="42"/>
      <c r="D43" s="42"/>
      <c r="E43" s="42"/>
      <c r="F43" s="343"/>
      <c r="G43" s="92"/>
      <c r="H43" s="92"/>
      <c r="I43" s="92"/>
    </row>
    <row customHeight="true" ht="22" r="44">
      <c r="A44" s="184" t="str">
        <v>需加收产品及杂费
加收金额</v>
      </c>
      <c r="B44" s="184"/>
      <c r="C44" s="184"/>
      <c r="D44" s="277" t="str">
        <v>加收金额</v>
      </c>
      <c r="E44" s="277" t="str">
        <v>备注</v>
      </c>
      <c r="F44" s="277"/>
      <c r="G44" s="92"/>
      <c r="H44" s="92"/>
      <c r="I44" s="92"/>
      <c r="J44" s="92"/>
      <c r="K44" s="92"/>
      <c r="L44" s="92"/>
      <c r="M44" s="92"/>
      <c r="N44" s="92"/>
      <c r="O44" s="92"/>
      <c r="P44" s="92"/>
      <c r="Q44" s="92"/>
      <c r="R44" s="92"/>
      <c r="S44" s="92"/>
      <c r="T44" s="92"/>
    </row>
    <row customHeight="true" ht="38" r="45">
      <c r="A45" s="72" t="str">
        <v>除高价值，高关税产品，其余普通产品无附加费</v>
      </c>
      <c r="B45" s="72"/>
      <c r="C45" s="72"/>
      <c r="D45" s="72" t="str">
        <v>无附加费</v>
      </c>
      <c r="E45" s="72" t="str">
        <v>由于产品本身专利或知识产权问题产生扣关，货物退回等后续问题由客户承担，我司保留追究的权力。</v>
      </c>
      <c r="F45" s="72"/>
      <c r="G45" s="92"/>
      <c r="H45" s="92"/>
      <c r="I45" s="92"/>
      <c r="J45" s="92"/>
      <c r="K45" s="92"/>
      <c r="L45" s="92"/>
      <c r="M45" s="92"/>
      <c r="N45" s="92"/>
      <c r="O45" s="92"/>
      <c r="P45" s="92"/>
      <c r="Q45" s="92"/>
      <c r="R45" s="92"/>
      <c r="S45" s="92"/>
      <c r="T45" s="92"/>
    </row>
    <row customHeight="true" ht="70" r="46">
      <c r="A46" s="72" t="str">
        <v>木制品、蓝牙产品、激光类产品、UL产品</v>
      </c>
      <c r="B46" s="72"/>
      <c r="C46" s="72"/>
      <c r="D46" s="72" t="str">
        <v>+1/KG</v>
      </c>
      <c r="E46" s="72" t="str">
        <v>FDA类产品，海关可能会查验。由于客户提供错误的FDA ID. 产生扣关，关税，货物退回等后续问题由客户承担，我司并保留追究的权力</v>
      </c>
      <c r="F46" s="72"/>
      <c r="G46" s="92"/>
      <c r="H46" s="92"/>
      <c r="I46" s="92"/>
      <c r="J46" s="92"/>
      <c r="K46" s="92"/>
      <c r="L46" s="92"/>
      <c r="M46" s="92"/>
      <c r="N46" s="92"/>
      <c r="O46" s="92"/>
      <c r="P46" s="92"/>
      <c r="Q46" s="92"/>
      <c r="R46" s="92"/>
      <c r="S46" s="92"/>
      <c r="T46" s="92"/>
    </row>
    <row customHeight="true" ht="70" r="47">
      <c r="A47" s="72" t="str">
        <v>化工品（指甲胶、精油、口红、眼影，卸妆水、洗发水等）</v>
      </c>
      <c r="B47" s="72"/>
      <c r="C47" s="72"/>
      <c r="D47" s="72" t="str">
        <v>+2/KG</v>
      </c>
      <c r="E47" s="72" t="str">
        <v>提供真实有效期内商检、MSDS认证视为普货，无需附加费（证书是否有效以相关部门是否认可为准）</v>
      </c>
      <c r="F47" s="72"/>
      <c r="G47" s="92"/>
      <c r="H47" s="92"/>
      <c r="I47" s="92"/>
      <c r="J47" s="92"/>
      <c r="K47" s="92"/>
      <c r="L47" s="92"/>
      <c r="M47" s="92"/>
      <c r="N47" s="92"/>
      <c r="O47" s="92"/>
      <c r="P47" s="92"/>
      <c r="Q47" s="92"/>
      <c r="R47" s="92"/>
      <c r="S47" s="92"/>
      <c r="T47" s="92"/>
    </row>
    <row customHeight="true" ht="70" r="48">
      <c r="A48" s="72" t="str">
        <v>国内贴标费</v>
      </c>
      <c r="B48" s="72"/>
      <c r="C48" s="72"/>
      <c r="D48" s="72" t="str">
        <v>1元/张</v>
      </c>
      <c r="E48" s="72" t="str">
        <v>为了准确快捷入库，请尽量配合贴好入仓标签/FBA标签/SKU标签等，因未贴标签或未及时告知导致仓库未能及时入库延误船期的我司概不负责</v>
      </c>
      <c r="F48" s="72"/>
      <c r="G48" s="92"/>
      <c r="H48" s="92"/>
      <c r="I48" s="92"/>
      <c r="J48" s="92"/>
      <c r="K48" s="92"/>
      <c r="L48" s="92"/>
      <c r="M48" s="92"/>
      <c r="N48" s="92"/>
      <c r="O48" s="92"/>
      <c r="P48" s="92"/>
      <c r="Q48" s="92"/>
      <c r="R48" s="92"/>
      <c r="S48" s="92"/>
      <c r="T48" s="92"/>
    </row>
    <row customHeight="true" ht="55" r="49">
      <c r="A49" s="72" t="str">
        <v>报价未注明的产品，请将提供产品信息给我司客服或业务进行核实是否有附加费</v>
      </c>
      <c r="B49" s="72"/>
      <c r="C49" s="72"/>
      <c r="D49" s="72" t="str">
        <v>待确定</v>
      </c>
      <c r="E49" s="72" t="str">
        <v>因美对华加增2000亿美金关税影响，请单独询问销售</v>
      </c>
      <c r="F49" s="72"/>
      <c r="G49" s="92"/>
      <c r="H49" s="92"/>
      <c r="I49" s="92"/>
      <c r="J49" s="92"/>
      <c r="K49" s="92"/>
      <c r="L49" s="92"/>
      <c r="M49" s="92"/>
      <c r="N49" s="92"/>
      <c r="O49" s="92"/>
      <c r="P49" s="92"/>
      <c r="Q49" s="92"/>
      <c r="R49" s="92"/>
      <c r="S49" s="92"/>
      <c r="T49" s="92"/>
    </row>
    <row customHeight="true" ht="32" r="50">
      <c r="A50" s="191" t="str">
        <v>优势:自主装柜，海运市场优质后端，信誉清关行，快捷海外转运派送。</v>
      </c>
      <c r="B50" s="191"/>
      <c r="C50" s="191"/>
      <c r="D50" s="191"/>
      <c r="E50" s="191"/>
      <c r="F50" s="191"/>
      <c r="G50" s="92"/>
      <c r="H50" s="92"/>
      <c r="I50" s="92"/>
      <c r="J50" s="92"/>
      <c r="K50" s="92"/>
      <c r="L50" s="92"/>
      <c r="M50" s="92"/>
      <c r="N50" s="92"/>
      <c r="O50" s="92"/>
      <c r="P50" s="92"/>
      <c r="Q50" s="92"/>
      <c r="R50" s="92"/>
      <c r="S50" s="92"/>
      <c r="T50" s="92"/>
    </row>
    <row customHeight="true" ht="32" r="51">
      <c r="A51" s="191" t="str">
        <v>注明：每周报价表为实时报价，不可控因素或市场变化调节过大时，升或降以到仓价格为准。</v>
      </c>
      <c r="B51" s="191"/>
      <c r="C51" s="191"/>
      <c r="D51" s="191"/>
      <c r="E51" s="191"/>
      <c r="F51" s="191"/>
      <c r="G51" s="92"/>
      <c r="H51" s="92"/>
      <c r="I51" s="92"/>
      <c r="J51" s="92"/>
      <c r="K51" s="92"/>
      <c r="L51" s="92"/>
      <c r="M51" s="92"/>
      <c r="N51" s="92"/>
      <c r="O51" s="92"/>
      <c r="P51" s="92"/>
      <c r="Q51" s="92"/>
      <c r="R51" s="92"/>
      <c r="S51" s="92"/>
      <c r="T51" s="92"/>
    </row>
    <row customHeight="true" ht="32" r="52">
      <c r="A52" s="191" t="str">
        <v>包税附加费，未列明产品请跟业务联系</v>
      </c>
      <c r="B52" s="191"/>
      <c r="C52" s="191"/>
      <c r="D52" s="191"/>
      <c r="E52" s="191"/>
      <c r="F52" s="191"/>
      <c r="G52" s="92"/>
      <c r="H52" s="92"/>
      <c r="I52" s="92"/>
      <c r="J52" s="92"/>
      <c r="K52" s="92"/>
      <c r="L52" s="92"/>
      <c r="M52" s="92"/>
      <c r="N52" s="92"/>
      <c r="O52" s="92"/>
      <c r="P52" s="92"/>
      <c r="Q52" s="92"/>
      <c r="R52" s="92"/>
      <c r="S52" s="92"/>
      <c r="T52" s="92"/>
    </row>
    <row customHeight="true" ht="32" r="53">
      <c r="A53" s="72" t="str">
        <v>单证报关250/票，单票超5个品名以上+50RMB/个</v>
      </c>
      <c r="B53" s="72"/>
      <c r="C53" s="72"/>
      <c r="D53" s="72"/>
      <c r="E53" s="72"/>
      <c r="F53" s="72"/>
      <c r="G53" s="92"/>
      <c r="H53" s="92"/>
      <c r="I53" s="92"/>
      <c r="J53" s="92"/>
      <c r="K53" s="92"/>
      <c r="L53" s="92"/>
      <c r="M53" s="92"/>
      <c r="N53" s="92"/>
      <c r="O53" s="92"/>
      <c r="P53" s="92"/>
      <c r="Q53" s="92"/>
      <c r="R53" s="92"/>
      <c r="S53" s="92"/>
      <c r="T53" s="92"/>
    </row>
    <row customHeight="true" ht="59" r="54">
      <c r="A54" s="72" t="str">
        <v>温馨提示：请按我司提供的样板提供电子版发票和装箱单如实申报，如因申报品名/申报数量/申报单价/申报材质/申报HS等不符造成的清关问题，我司概不负责
（清关延误不算在正常派送日内）</v>
      </c>
      <c r="B54" s="72"/>
      <c r="C54" s="72"/>
      <c r="D54" s="72"/>
      <c r="E54" s="72"/>
      <c r="F54" s="72"/>
      <c r="G54" s="92"/>
      <c r="H54" s="92"/>
      <c r="I54" s="92"/>
      <c r="J54" s="92"/>
      <c r="K54" s="92"/>
      <c r="L54" s="92"/>
      <c r="M54" s="92"/>
      <c r="N54" s="92"/>
      <c r="O54" s="92"/>
      <c r="P54" s="92"/>
      <c r="Q54" s="92"/>
      <c r="R54" s="92"/>
      <c r="S54" s="92"/>
      <c r="T54" s="92"/>
    </row>
  </sheetData>
  <mergeCells>
    <mergeCell ref="A2:F2"/>
    <mergeCell ref="A3:B3"/>
    <mergeCell ref="C3:E3"/>
    <mergeCell ref="A4:B4"/>
    <mergeCell ref="A5:B5"/>
    <mergeCell ref="A6:B6"/>
    <mergeCell ref="A7:B7"/>
    <mergeCell ref="A8:B8"/>
    <mergeCell ref="A9:F9"/>
    <mergeCell ref="A10:F10"/>
    <mergeCell ref="A11:B11"/>
    <mergeCell ref="C11:E11"/>
    <mergeCell ref="A12:B12"/>
    <mergeCell ref="A13:B13"/>
    <mergeCell ref="A14:B14"/>
    <mergeCell ref="A15:B15"/>
    <mergeCell ref="A16:B16"/>
    <mergeCell ref="A17:F17"/>
    <mergeCell ref="A18:F18"/>
    <mergeCell ref="A19:B19"/>
    <mergeCell ref="C19:E19"/>
    <mergeCell ref="A20:B20"/>
    <mergeCell ref="A21:B21"/>
    <mergeCell ref="A22:B22"/>
    <mergeCell ref="A23:B23"/>
    <mergeCell ref="A24:B24"/>
    <mergeCell ref="A25:F25"/>
    <mergeCell ref="A26:F26"/>
    <mergeCell ref="A27:B27"/>
    <mergeCell ref="C27:E27"/>
    <mergeCell ref="A28:B28"/>
    <mergeCell ref="A29:B29"/>
    <mergeCell ref="A30:B30"/>
    <mergeCell ref="A31:B31"/>
    <mergeCell ref="A32:B32"/>
    <mergeCell ref="A33:F33"/>
    <mergeCell ref="A34:F34"/>
    <mergeCell ref="A35:B35"/>
    <mergeCell ref="C35:E35"/>
    <mergeCell ref="A36:B36"/>
    <mergeCell ref="A37:B37"/>
    <mergeCell ref="A38:B38"/>
    <mergeCell ref="A39:F39"/>
    <mergeCell ref="A40:F40"/>
    <mergeCell ref="A41:C41"/>
    <mergeCell ref="D41:F41"/>
    <mergeCell ref="A42:F42"/>
    <mergeCell ref="A43:F43"/>
    <mergeCell ref="A44:C44"/>
    <mergeCell ref="E44:F44"/>
    <mergeCell ref="A45:C45"/>
    <mergeCell ref="E45:F45"/>
    <mergeCell ref="A46:C46"/>
    <mergeCell ref="E46:F46"/>
    <mergeCell ref="A47:C47"/>
    <mergeCell ref="E47:F47"/>
    <mergeCell ref="A48:C48"/>
    <mergeCell ref="E48:F48"/>
    <mergeCell ref="A49:C49"/>
    <mergeCell ref="E49:F49"/>
    <mergeCell ref="A50:F50"/>
    <mergeCell ref="A51:F51"/>
    <mergeCell ref="A52:F52"/>
    <mergeCell ref="A53:F53"/>
    <mergeCell ref="A54:F54"/>
    <mergeCell ref="F5:F8"/>
    <mergeCell ref="F13:F16"/>
    <mergeCell ref="F21:F24"/>
    <mergeCell ref="F29:F32"/>
  </mergeCells>
  <hyperlinks>
    <hyperlink ref="A41" display="https://www.ziplucas.com/index.html" r:id="rId1"/>
  </hyperlinks>
  <drawing r:id="rId2"/>
  <picture r:id="rId3"/>
</worksheet>
</file>

<file path=xl/worksheets/sheet1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tabColor rgb="FFA9CD90"/>
    <outlinePr summaryBelow="false" summaryRight="false"/>
  </sheetPr>
  <dimension ref="A1"/>
  <sheetViews>
    <sheetView showGridLines="true" workbookViewId="0"/>
  </sheetViews>
  <sheetFormatPr defaultColWidth="14" defaultRowHeight="19"/>
  <cols>
    <col collapsed="false" customWidth="true" hidden="false" max="1" min="1" style="0" width="71"/>
    <col collapsed="false" customWidth="true" hidden="false" max="2" min="2" style="0" width="27"/>
    <col collapsed="false" customWidth="true" hidden="false" max="3" min="3" style="0" width="27"/>
    <col collapsed="false" customWidth="true" hidden="false" max="4" min="4" style="0" width="27"/>
    <col collapsed="false" customWidth="true" hidden="false" max="5" min="5" style="0" width="27"/>
    <col collapsed="false" customWidth="true" hidden="false" max="6" min="6" style="0" width="11"/>
    <col collapsed="false" customWidth="true" hidden="false" max="7" min="7" style="0" width="10"/>
    <col collapsed="false" customWidth="true" hidden="false" max="8" min="8" style="0" width="10"/>
    <col collapsed="false" customWidth="true" hidden="false" max="9" min="9" style="0" width="10"/>
    <col collapsed="false" customWidth="true" hidden="false" max="10" min="10" style="0" width="10"/>
    <col collapsed="false" customWidth="true" hidden="false" max="11" min="11" style="0" width="10"/>
    <col collapsed="false" customWidth="true" hidden="false" max="12" min="12" style="0" width="10"/>
    <col collapsed="false" customWidth="true" hidden="false" max="13" min="13" style="0" width="10"/>
    <col collapsed="false" customWidth="true" hidden="false" max="14" min="14" style="0" width="10"/>
    <col collapsed="false" customWidth="true" hidden="false" max="15" min="15" style="0" width="10"/>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s>
  <sheetData>
    <row customHeight="true" ht="145" r="1">
      <c r="A1" s="301"/>
      <c r="B1" s="301"/>
      <c r="C1" s="92"/>
      <c r="D1" s="92"/>
      <c r="E1" s="109"/>
    </row>
    <row customHeight="true" ht="40" r="2">
      <c r="A2" s="135" t="str">
        <v>美森360</v>
      </c>
      <c r="B2" s="135"/>
      <c r="C2" s="135"/>
      <c r="D2" s="135"/>
      <c r="E2" s="135"/>
    </row>
    <row customHeight="true" ht="32" r="3">
      <c r="A3" s="208" t="str">
        <v>热门卡派仓</v>
      </c>
      <c r="B3" s="208"/>
      <c r="C3" s="208"/>
      <c r="D3" s="208"/>
      <c r="E3" s="208"/>
    </row>
    <row customHeight="true" ht="40" r="4">
      <c r="A4" s="119"/>
      <c r="B4" s="119" t="str">
        <v>珠三角/汕头交货价</v>
      </c>
      <c r="C4" s="119" t="str">
        <v>义乌交货价</v>
      </c>
      <c r="D4" s="119"/>
      <c r="E4" s="119"/>
    </row>
    <row customHeight="true" ht="61" r="5">
      <c r="A5" s="376" t="str" xml:space="preserve">
        <v>   仓库                                                                      重量段</v>
      </c>
      <c r="B5" s="363" t="str">
        <v>按方不包税
2CBM+</v>
      </c>
      <c r="C5" s="363" t="str">
        <v>按方不包税
2CBM+</v>
      </c>
      <c r="D5" s="126" t="str">
        <v>签收时效
（开船后）</v>
      </c>
      <c r="E5" s="126"/>
    </row>
    <row customHeight="true" ht="33" r="6">
      <c r="A6" s="24" t="str">
        <v>ONT8,LAX9,LGB8</v>
      </c>
      <c r="B6" s="94">
        <v>1450</v>
      </c>
      <c r="C6" s="94">
        <v>1420</v>
      </c>
      <c r="D6" s="24" t="str">
        <v>12-16个自然日</v>
      </c>
      <c r="E6" s="24"/>
      <c r="F6" s="92"/>
    </row>
    <row customHeight="true" ht="33" r="7">
      <c r="A7" s="187" t="str">
        <v>SBD1,POC1,POC3,JOT1,POC2,IUSP,IUSQ,IUTI,IUSJ,IUSW,IUTF</v>
      </c>
      <c r="B7" s="239">
        <v>1470</v>
      </c>
      <c r="C7" s="239">
        <v>1440</v>
      </c>
      <c r="D7" s="187" t="str">
        <v>12-16个自然日</v>
      </c>
      <c r="E7" s="187"/>
    </row>
    <row customHeight="true" ht="53" r="8">
      <c r="A8" s="106" t="str">
        <v>GYR3,GYR2,LAS1,VGT2,MIT2,GEU3,QXY5,GEU5,GEU2,HLI2,TCY1,TCY2,SMF3,SCK4,SCK8,QXY8,IUTE,MCC1,PSP3</v>
      </c>
      <c r="B8" s="94">
        <v>1570</v>
      </c>
      <c r="C8" s="94">
        <v>1540</v>
      </c>
      <c r="D8" s="24" t="str">
        <v>13-17个自然日</v>
      </c>
      <c r="E8" s="24"/>
    </row>
    <row customHeight="true" ht="33" r="9">
      <c r="A9" s="187" t="str">
        <v>FTW1,AMA1,IAH3,SAT1,SAT4,PSC2,ABQ2</v>
      </c>
      <c r="B9" s="239">
        <v>1810</v>
      </c>
      <c r="C9" s="239">
        <v>1780</v>
      </c>
      <c r="D9" s="187" t="str">
        <v>15-19个自然日</v>
      </c>
      <c r="E9" s="187"/>
    </row>
    <row customHeight="true" ht="47" r="10">
      <c r="A10" s="106" t="str">
        <v>MQJ1,MEM1,FWA4,MDW2,IND9,RFD2</v>
      </c>
      <c r="B10" s="94">
        <v>1910</v>
      </c>
      <c r="C10" s="94">
        <v>1880</v>
      </c>
      <c r="D10" s="24" t="str">
        <v>16-21个自然日</v>
      </c>
      <c r="E10" s="24"/>
      <c r="F10" s="269"/>
    </row>
    <row customHeight="true" ht="43" r="11">
      <c r="A11" s="188" t="str">
        <v>CLT2,TPA2,TPA3,RDU2</v>
      </c>
      <c r="B11" s="188">
        <v>2080</v>
      </c>
      <c r="C11" s="188">
        <v>2050</v>
      </c>
      <c r="D11" s="187" t="str">
        <v>21-26个自然日</v>
      </c>
      <c r="E11" s="187"/>
      <c r="F11" s="92"/>
    </row>
    <row customHeight="true" ht="47" r="12">
      <c r="A12" s="106" t="str">
        <v>ORF2,RMN3,TEB3,TEB9,ABE8,AVP1,AVP3,SWF1,SWF2</v>
      </c>
      <c r="B12" s="106">
        <v>2160</v>
      </c>
      <c r="C12" s="106">
        <v>2130</v>
      </c>
      <c r="D12" s="24" t="str">
        <v>22-27个自然日</v>
      </c>
      <c r="E12" s="24"/>
    </row>
    <row customHeight="true" ht="40" r="13">
      <c r="A13" s="135" t="str">
        <v>美森432</v>
      </c>
      <c r="B13" s="135"/>
      <c r="C13" s="135"/>
      <c r="D13" s="135"/>
      <c r="E13" s="135"/>
    </row>
    <row customHeight="true" ht="32" r="14">
      <c r="A14" s="208" t="str">
        <v>热门卡派仓</v>
      </c>
      <c r="B14" s="208"/>
      <c r="C14" s="208"/>
      <c r="D14" s="208"/>
      <c r="E14" s="208"/>
    </row>
    <row customHeight="true" ht="40" r="15">
      <c r="A15" s="119"/>
      <c r="B15" s="119" t="str">
        <v>珠三角/汕头交货价</v>
      </c>
      <c r="C15" s="119" t="str">
        <v>义乌交货价</v>
      </c>
      <c r="D15" s="119"/>
      <c r="E15" s="119"/>
    </row>
    <row customHeight="true" ht="61" r="16">
      <c r="A16" s="376" t="str" xml:space="preserve">
        <v>   仓库                                                                      重量段</v>
      </c>
      <c r="B16" s="363" t="str">
        <v>按方不包税
2CBM+</v>
      </c>
      <c r="C16" s="363" t="str">
        <v>按方不包税
2CBM+</v>
      </c>
      <c r="D16" s="126" t="str">
        <v>签收时效
（开船后）</v>
      </c>
      <c r="E16" s="126"/>
    </row>
    <row customHeight="true" ht="33" r="17">
      <c r="A17" s="24" t="str">
        <v>ONT8,LAX9,LGB8</v>
      </c>
      <c r="B17" s="94">
        <v>1370</v>
      </c>
      <c r="C17" s="94">
        <v>1340</v>
      </c>
      <c r="D17" s="24" t="str">
        <v>14-18个自然日</v>
      </c>
      <c r="E17" s="24"/>
      <c r="F17" s="92"/>
    </row>
    <row customHeight="true" ht="33" r="18">
      <c r="A18" s="187" t="str">
        <v>SBD1,POC1,POC3,JOT1,POC2,IUSP,IUSQ,IUTI,IUSJ,IUSW,IUTF</v>
      </c>
      <c r="B18" s="239">
        <v>1390</v>
      </c>
      <c r="C18" s="239">
        <v>1360</v>
      </c>
      <c r="D18" s="187" t="str">
        <v>14-18个自然日</v>
      </c>
      <c r="E18" s="187"/>
    </row>
    <row customHeight="true" ht="53" r="19">
      <c r="A19" s="106" t="str">
        <v>GYR3,GYR2,LAS1,VGT2,MIT2,GEU3,QXY5,GEU5,GEU2,HLI2,TCY1,TCY2,SMF3,SCK4,SCK8,QXY8,IUTE,MCC1,PSP3</v>
      </c>
      <c r="B19" s="94">
        <v>1490</v>
      </c>
      <c r="C19" s="94">
        <v>1460</v>
      </c>
      <c r="D19" s="24" t="str">
        <v>15-19个自然日</v>
      </c>
      <c r="E19" s="24"/>
    </row>
    <row customHeight="true" ht="33" r="20">
      <c r="A20" s="187" t="str">
        <v>FTW1,AMA1,IAH3,SAT1,SAT4,PSC2,ABQ2</v>
      </c>
      <c r="B20" s="239">
        <v>1730</v>
      </c>
      <c r="C20" s="239">
        <v>1700</v>
      </c>
      <c r="D20" s="187" t="str">
        <v>17-21个自然日</v>
      </c>
      <c r="E20" s="187"/>
    </row>
    <row customHeight="true" ht="45" r="21">
      <c r="A21" s="106" t="str">
        <v>MQJ1,MEM1,FWA4,MDW2,IND9,RFD2</v>
      </c>
      <c r="B21" s="94">
        <v>1830</v>
      </c>
      <c r="C21" s="94">
        <v>1800</v>
      </c>
      <c r="D21" s="24" t="str">
        <v>18-23个自然日</v>
      </c>
      <c r="E21" s="24"/>
      <c r="F21" s="269"/>
    </row>
    <row customHeight="true" ht="43" r="22">
      <c r="A22" s="188" t="str">
        <v>CLT2,TPA2,TPA3,RDU2</v>
      </c>
      <c r="B22" s="188">
        <v>2000</v>
      </c>
      <c r="C22" s="188">
        <v>1970</v>
      </c>
      <c r="D22" s="187" t="str">
        <v>23-28个自然日</v>
      </c>
      <c r="E22" s="187"/>
      <c r="F22" s="92"/>
    </row>
    <row customHeight="true" ht="51" r="23">
      <c r="A23" s="106" t="str">
        <v>ORF2,RMN3,TEB3,TEB9,ABE8,AVP1,AVP3,SWF1,SWF2</v>
      </c>
      <c r="B23" s="106">
        <v>2080</v>
      </c>
      <c r="C23" s="106">
        <v>2050</v>
      </c>
      <c r="D23" s="24" t="str">
        <v>24-29个自然日</v>
      </c>
      <c r="E23" s="24"/>
    </row>
    <row customHeight="true" ht="45" r="24">
      <c r="A24" s="135" t="str">
        <v>EX456</v>
      </c>
      <c r="B24" s="228"/>
      <c r="C24" s="228"/>
      <c r="D24" s="228"/>
      <c r="E24" s="228"/>
      <c r="F24" s="92"/>
    </row>
    <row customHeight="true" ht="36" r="25">
      <c r="A25" s="210" t="str">
        <v>热门卡派仓</v>
      </c>
      <c r="B25" s="207"/>
      <c r="C25" s="207"/>
      <c r="D25" s="207"/>
      <c r="E25" s="209"/>
      <c r="F25" s="92"/>
    </row>
    <row customHeight="true" ht="36" r="26">
      <c r="A26" s="118"/>
      <c r="B26" s="218" t="str">
        <v>珠三角/汕头/义乌交货价</v>
      </c>
      <c r="C26" s="219"/>
      <c r="D26" s="118"/>
      <c r="E26" s="120"/>
      <c r="F26" s="92"/>
    </row>
    <row customHeight="true" ht="59" r="27">
      <c r="A27" s="376" t="str" xml:space="preserve">
        <v>   仓库                                                                     重量段</v>
      </c>
      <c r="B27" s="363" t="str">
        <v>按方不包税
2CBM+</v>
      </c>
      <c r="C27" s="377"/>
      <c r="D27" s="103" t="str">
        <v>签收时效
（开船后）</v>
      </c>
      <c r="E27" s="101"/>
      <c r="F27" s="92"/>
    </row>
    <row customHeight="true" ht="33" r="28">
      <c r="A28" s="106" t="str">
        <v>ONT8,LAX9,LGB8</v>
      </c>
      <c r="B28" s="155">
        <v>640</v>
      </c>
      <c r="C28" s="245"/>
      <c r="D28" s="24" t="str">
        <v>16-20个自然日</v>
      </c>
      <c r="E28" s="24"/>
      <c r="F28" s="92"/>
    </row>
    <row customHeight="true" ht="33" r="29">
      <c r="A29" s="188" t="str">
        <v>SBD1,POC1,POC3,JOT1,POC2,IUSP,IUSQ,IUTI,IUSJ,IUSW,IUTF</v>
      </c>
      <c r="B29" s="373">
        <v>660</v>
      </c>
      <c r="C29" s="237"/>
      <c r="D29" s="187" t="str">
        <v>16-20个自然日</v>
      </c>
      <c r="E29" s="187"/>
      <c r="F29" s="92"/>
    </row>
    <row customHeight="true" ht="55" r="30">
      <c r="A30" s="106" t="str">
        <v>GYR3,GYR2,LAS1,VGT2,MIT2,GEU3,QXY5,GEU5,GEU2,HLI2,TCY1,TCY2,SMF3,SCK4,SCK8,QXY8,IUTE,MCC1,PSP3</v>
      </c>
      <c r="B30" s="155">
        <v>740</v>
      </c>
      <c r="C30" s="245"/>
      <c r="D30" s="24" t="str">
        <v>17-21个自然日</v>
      </c>
      <c r="E30" s="24"/>
      <c r="F30" s="92"/>
    </row>
    <row customHeight="true" ht="45" r="31">
      <c r="A31" s="188" t="str">
        <v>FTW1,AMA1,IAH3,SAT1,SAT4,PSC2,ABQ2</v>
      </c>
      <c r="B31" s="373">
        <v>1080</v>
      </c>
      <c r="C31" s="237"/>
      <c r="D31" s="187" t="str">
        <v>20-24个自然日</v>
      </c>
      <c r="E31" s="187"/>
      <c r="F31" s="92"/>
    </row>
    <row customHeight="true" ht="44" r="32">
      <c r="A32" s="106" t="str">
        <v>MQJ1,MEM1,FWA4,MDW2,IND9,RFD2</v>
      </c>
      <c r="B32" s="155">
        <v>1200</v>
      </c>
      <c r="C32" s="245"/>
      <c r="D32" s="24" t="str">
        <v>20-24个自然日</v>
      </c>
      <c r="E32" s="24"/>
      <c r="F32" s="92"/>
    </row>
    <row customHeight="true" ht="38" r="33">
      <c r="A33" s="188" t="str">
        <v>CLT2,TPA2,TPA3,RDU2</v>
      </c>
      <c r="B33" s="373">
        <v>1360</v>
      </c>
      <c r="C33" s="237"/>
      <c r="D33" s="187" t="str">
        <v>25-30个自然日</v>
      </c>
      <c r="E33" s="187"/>
      <c r="F33" s="92"/>
    </row>
    <row customHeight="true" ht="43" r="34">
      <c r="A34" s="106" t="str">
        <v>ORF2,RMN3,TEB3,TEB9,ABE8,AVP1,AVP3,SWF1,SWF2</v>
      </c>
      <c r="B34" s="155">
        <v>1390</v>
      </c>
      <c r="C34" s="245"/>
      <c r="D34" s="24" t="str">
        <v>26-31个自然日</v>
      </c>
      <c r="E34" s="24"/>
    </row>
    <row customHeight="true" ht="46" r="35">
      <c r="A35" s="228" t="str">
        <v>快船600</v>
      </c>
      <c r="B35" s="228"/>
      <c r="C35" s="228"/>
      <c r="D35" s="228"/>
      <c r="E35" s="228"/>
      <c r="F35" s="321"/>
    </row>
    <row customHeight="true" ht="46" r="36">
      <c r="A36" s="225" t="str">
        <v>热门卡派仓</v>
      </c>
      <c r="B36" s="225"/>
      <c r="C36" s="226"/>
      <c r="D36" s="226"/>
      <c r="E36" s="226"/>
      <c r="F36" s="321"/>
    </row>
    <row customHeight="true" ht="36" r="37">
      <c r="A37" s="367"/>
      <c r="B37" s="218" t="str">
        <v>珠三角/汕头/义乌交货价</v>
      </c>
      <c r="C37" s="219"/>
      <c r="D37" s="118"/>
      <c r="E37" s="120"/>
      <c r="F37" s="321"/>
    </row>
    <row customHeight="true" ht="24" r="38">
      <c r="A38" s="214" t="str" xml:space="preserve">
        <v>   仓库                                              重量段</v>
      </c>
      <c r="B38" s="355" t="str">
        <v>按方不包税
2CBM+</v>
      </c>
      <c r="C38" s="356"/>
      <c r="D38" s="357" t="str">
        <v>签收时效（开船后）</v>
      </c>
      <c r="E38" s="358"/>
      <c r="F38" s="92"/>
    </row>
    <row customHeight="true" ht="30" r="39">
      <c r="A39" s="232"/>
      <c r="B39" s="363"/>
      <c r="C39" s="360"/>
      <c r="D39" s="361"/>
      <c r="E39" s="362"/>
      <c r="F39" s="92"/>
    </row>
    <row customHeight="true" ht="43" r="40">
      <c r="A40" s="106" t="str">
        <v>ONT8,LAX9,LGB8,SBD1,JOT1,POC1,POC3,POC2</v>
      </c>
      <c r="B40" s="94">
        <v>510</v>
      </c>
      <c r="C40" s="150"/>
      <c r="D40" s="244" t="str">
        <v>20-27个自然日</v>
      </c>
      <c r="E40" s="359"/>
      <c r="F40" s="92"/>
    </row>
    <row customHeight="true" ht="43" r="41">
      <c r="A41" s="188" t="str">
        <v>IUSP,IUSQ,IUTI,IUSJ,IUSW,IUTF</v>
      </c>
      <c r="B41" s="239">
        <v>590</v>
      </c>
      <c r="C41" s="364"/>
      <c r="D41" s="365" t="str">
        <v>21-29个自然日</v>
      </c>
      <c r="E41" s="366"/>
      <c r="F41" s="92"/>
    </row>
    <row customHeight="true" ht="55" r="42">
      <c r="A42" s="106" t="str">
        <v>GYR3,GYR2,LAS1,VGT2,MIT2,GEU3,QXY5,GEU5,GEU2,MCC1,PSP3</v>
      </c>
      <c r="B42" s="94">
        <v>590</v>
      </c>
      <c r="C42" s="150"/>
      <c r="D42" s="244" t="str">
        <v>21-29个自然日</v>
      </c>
      <c r="E42" s="359"/>
      <c r="F42" s="269"/>
    </row>
    <row customHeight="true" ht="55" r="43">
      <c r="A43" s="188" t="str">
        <v>HLI2,TCY1,TCY2,SMF3,SCK4,SCK8,QXY8,IUTE</v>
      </c>
      <c r="B43" s="239">
        <v>620</v>
      </c>
      <c r="C43" s="364"/>
      <c r="D43" s="365" t="str">
        <v>21-29个自然日</v>
      </c>
      <c r="E43" s="366"/>
      <c r="F43" s="269"/>
    </row>
    <row customHeight="true" ht="53" r="44">
      <c r="A44" s="106" t="str">
        <v>AMA1,IAH3,SAT1,SAT4,DFW6,PSC2,ABQ2,RFD2,FTW1,FTW5</v>
      </c>
      <c r="B44" s="94">
        <v>920</v>
      </c>
      <c r="C44" s="150"/>
      <c r="D44" s="244" t="str">
        <v>25-32个自然日</v>
      </c>
      <c r="E44" s="359"/>
      <c r="F44" s="92"/>
    </row>
    <row customHeight="true" ht="49" r="45">
      <c r="A45" s="188" t="str">
        <v>MDW2,MQJ1,MEM1,FWA4,IND9</v>
      </c>
      <c r="B45" s="239">
        <v>1030</v>
      </c>
      <c r="C45" s="364"/>
      <c r="D45" s="365" t="str">
        <v>25-32个自然日</v>
      </c>
      <c r="E45" s="366"/>
      <c r="F45" s="92"/>
    </row>
    <row customHeight="true" ht="55" r="46">
      <c r="A46" s="106" t="str">
        <v>CLT2,TPA2,TPA3,RDU2</v>
      </c>
      <c r="B46" s="94">
        <v>1220</v>
      </c>
      <c r="C46" s="150"/>
      <c r="D46" s="244" t="str">
        <v>28-34个自然日</v>
      </c>
      <c r="E46" s="359"/>
      <c r="F46" s="92"/>
    </row>
    <row customHeight="true" ht="59" r="47">
      <c r="A47" s="188" t="str">
        <v>ORF2,RMN3,TEB3,TEB9,ABE8,AVP1,AVP3,SWF1,SWF2</v>
      </c>
      <c r="B47" s="239">
        <v>1250</v>
      </c>
      <c r="C47" s="364"/>
      <c r="D47" s="365" t="str">
        <v>28-34个自然日</v>
      </c>
      <c r="E47" s="366"/>
      <c r="F47" s="92"/>
    </row>
    <row customHeight="true" ht="55" r="48">
      <c r="A48" s="106" t="str">
        <v>CMH2,CMH3,DET1,RYY2,JAX3</v>
      </c>
      <c r="B48" s="94">
        <v>1190</v>
      </c>
      <c r="C48" s="150"/>
      <c r="D48" s="244" t="str">
        <v>32-40个自然日</v>
      </c>
      <c r="E48" s="359"/>
      <c r="F48" s="92"/>
    </row>
    <row customHeight="true" ht="45" r="49">
      <c r="A49" s="188" t="str">
        <v>HGR6,WBW2,PBI3,ABE4</v>
      </c>
      <c r="B49" s="239">
        <v>1220</v>
      </c>
      <c r="C49" s="364"/>
      <c r="D49" s="365" t="str">
        <v>34-40个自然日</v>
      </c>
      <c r="E49" s="366"/>
      <c r="F49" s="92"/>
    </row>
    <row customHeight="true" ht="46" r="50">
      <c r="A50" s="228" t="str">
        <v>洛杉矶768</v>
      </c>
      <c r="B50" s="228"/>
      <c r="C50" s="228"/>
      <c r="D50" s="228"/>
      <c r="E50" s="228"/>
      <c r="F50" s="321"/>
    </row>
    <row customHeight="true" ht="46" r="51">
      <c r="A51" s="225" t="str">
        <v>热门卡派仓</v>
      </c>
      <c r="B51" s="225"/>
      <c r="C51" s="226"/>
      <c r="D51" s="226"/>
      <c r="E51" s="226"/>
      <c r="F51" s="321"/>
    </row>
    <row customHeight="true" ht="36" r="52">
      <c r="A52" s="367"/>
      <c r="B52" s="218" t="str">
        <v>珠三角/汕头/义乌交货价</v>
      </c>
      <c r="C52" s="219"/>
      <c r="D52" s="118"/>
      <c r="E52" s="120"/>
      <c r="F52" s="321"/>
    </row>
    <row customHeight="true" ht="24" r="53">
      <c r="A53" s="214" t="str" xml:space="preserve">
        <v>   仓库                                           重量段</v>
      </c>
      <c r="B53" s="355" t="str">
        <v>按方不包税
2CBM+</v>
      </c>
      <c r="C53" s="356"/>
      <c r="D53" s="357" t="str">
        <v>参考时效（开船后）</v>
      </c>
      <c r="E53" s="358"/>
      <c r="F53" s="92"/>
    </row>
    <row customHeight="true" ht="30" r="54">
      <c r="A54" s="232"/>
      <c r="B54" s="363"/>
      <c r="C54" s="360"/>
      <c r="D54" s="361"/>
      <c r="E54" s="362"/>
      <c r="F54" s="92"/>
    </row>
    <row customHeight="true" ht="38" r="55">
      <c r="A55" s="106" t="str">
        <v>ONT8,LAX9,LGB8,SBD1,JOT1,POC1,POC3,POC2</v>
      </c>
      <c r="B55" s="94">
        <v>460</v>
      </c>
      <c r="C55" s="150"/>
      <c r="D55" s="244" t="str">
        <v>24-32个自然日</v>
      </c>
      <c r="E55" s="359"/>
      <c r="F55" s="92"/>
    </row>
    <row customHeight="true" ht="50" r="56">
      <c r="A56" s="188" t="str">
        <v>GYR3,GYR2,LAS1,VGT2,MIT2,GEU3,QXY5,GEU5,GEU2,QXY8</v>
      </c>
      <c r="B56" s="239">
        <v>570</v>
      </c>
      <c r="C56" s="364"/>
      <c r="D56" s="365" t="str">
        <v>25-34个自然日</v>
      </c>
      <c r="E56" s="366"/>
      <c r="F56" s="92"/>
    </row>
    <row customHeight="true" ht="44" r="57">
      <c r="A57" s="106" t="str">
        <v>XLX7,KRB1,KRB4,ONT2,ONT6,ONT9,LGB4,LGB6,LGB9,SBD2,SNA4</v>
      </c>
      <c r="B57" s="94">
        <v>580</v>
      </c>
      <c r="C57" s="150"/>
      <c r="D57" s="244" t="str">
        <v>26-34个自然日</v>
      </c>
      <c r="E57" s="359"/>
      <c r="F57" s="92"/>
    </row>
    <row customHeight="true" ht="59" r="58">
      <c r="A58" s="188" t="str">
        <v>PHX3,PHX5,PHX7,AZA4,LAS6,LAS7</v>
      </c>
      <c r="B58" s="239">
        <v>690</v>
      </c>
      <c r="C58" s="364"/>
      <c r="D58" s="365" t="str">
        <v>27-36个自然日</v>
      </c>
      <c r="E58" s="366"/>
      <c r="F58" s="92"/>
    </row>
    <row customHeight="true" ht="46" r="59">
      <c r="A59" s="228" t="str">
        <v>奥克兰744</v>
      </c>
      <c r="B59" s="228"/>
      <c r="C59" s="228"/>
      <c r="D59" s="228"/>
      <c r="E59" s="228"/>
      <c r="F59" s="321"/>
    </row>
    <row customHeight="true" ht="46" r="60">
      <c r="A60" s="225" t="str">
        <v>热门卡派仓</v>
      </c>
      <c r="B60" s="225"/>
      <c r="C60" s="226"/>
      <c r="D60" s="226"/>
      <c r="E60" s="226"/>
      <c r="F60" s="321"/>
    </row>
    <row customHeight="true" ht="36" r="61">
      <c r="A61" s="367"/>
      <c r="B61" s="218" t="str">
        <v>珠三角/汕头/义乌交货价</v>
      </c>
      <c r="C61" s="219"/>
      <c r="D61" s="118"/>
      <c r="E61" s="120"/>
      <c r="F61" s="321"/>
    </row>
    <row customHeight="true" ht="24" r="62">
      <c r="A62" s="214" t="str" xml:space="preserve">
        <v>   仓库                                                         重量段</v>
      </c>
      <c r="B62" s="355" t="str">
        <v>按方不包税
2CBM+</v>
      </c>
      <c r="C62" s="356"/>
      <c r="D62" s="357" t="str">
        <v>参考时效（开船后）</v>
      </c>
      <c r="E62" s="358"/>
      <c r="F62" s="92"/>
    </row>
    <row customHeight="true" ht="30" r="63">
      <c r="A63" s="232"/>
      <c r="B63" s="363"/>
      <c r="C63" s="360"/>
      <c r="D63" s="361"/>
      <c r="E63" s="362"/>
      <c r="F63" s="92"/>
    </row>
    <row customHeight="true" ht="38" r="64">
      <c r="A64" s="106" t="str">
        <v>SCK4,SMF3,SCK1,SCK3,OAK3,SJC7</v>
      </c>
      <c r="B64" s="94">
        <v>550</v>
      </c>
      <c r="C64" s="150"/>
      <c r="D64" s="244" t="str">
        <v>26-34个自然日</v>
      </c>
      <c r="E64" s="359"/>
      <c r="F64" s="92"/>
      <c r="G64" s="92"/>
    </row>
    <row customHeight="true" ht="46" r="65">
      <c r="A65" s="188" t="str">
        <v>TCY2,SCK8,SMF7,MCE1,SMF6,QXY5</v>
      </c>
      <c r="B65" s="239">
        <v>570</v>
      </c>
      <c r="C65" s="364"/>
      <c r="D65" s="365" t="str">
        <v>27-34个自然日</v>
      </c>
      <c r="E65" s="366"/>
      <c r="F65" s="92"/>
      <c r="G65" s="92"/>
    </row>
    <row customHeight="true" ht="46" r="66">
      <c r="A66" s="106" t="str">
        <v>HLI2,FAT2,MCC1</v>
      </c>
      <c r="B66" s="94">
        <v>620</v>
      </c>
      <c r="C66" s="150"/>
      <c r="D66" s="244" t="str">
        <v>30-36个自然日</v>
      </c>
      <c r="E66" s="359"/>
      <c r="F66" s="92"/>
      <c r="G66" s="92"/>
    </row>
    <row customHeight="true" ht="46" r="67">
      <c r="A67" s="228" t="str">
        <v>西雅图788</v>
      </c>
      <c r="B67" s="228"/>
      <c r="C67" s="228"/>
      <c r="D67" s="228"/>
      <c r="E67" s="228"/>
      <c r="F67" s="321"/>
    </row>
    <row customHeight="true" ht="46" r="68">
      <c r="A68" s="225" t="str">
        <v>热门卡派仓</v>
      </c>
      <c r="B68" s="225"/>
      <c r="C68" s="226"/>
      <c r="D68" s="226"/>
      <c r="E68" s="226"/>
      <c r="F68" s="321"/>
    </row>
    <row customHeight="true" ht="36" r="69">
      <c r="A69" s="367"/>
      <c r="B69" s="218" t="str">
        <v>珠三角/汕头/义乌交货价</v>
      </c>
      <c r="C69" s="219"/>
      <c r="D69" s="118"/>
      <c r="E69" s="120"/>
      <c r="F69" s="321"/>
    </row>
    <row customHeight="true" ht="24" r="70">
      <c r="A70" s="214" t="str" xml:space="preserve">
        <v>   仓库                                                         重量段</v>
      </c>
      <c r="B70" s="355" t="str">
        <v>按方不包税
2CBM+</v>
      </c>
      <c r="C70" s="356"/>
      <c r="D70" s="357" t="str">
        <v>参考时效（开船后）</v>
      </c>
      <c r="E70" s="358"/>
      <c r="F70" s="92"/>
    </row>
    <row customHeight="true" ht="30" r="71">
      <c r="A71" s="232"/>
      <c r="B71" s="363"/>
      <c r="C71" s="360"/>
      <c r="D71" s="361"/>
      <c r="E71" s="362"/>
      <c r="F71" s="92"/>
    </row>
    <row customHeight="true" ht="38" r="72">
      <c r="A72" s="106" t="str">
        <v>BFI3,BFI7</v>
      </c>
      <c r="B72" s="94">
        <v>770</v>
      </c>
      <c r="C72" s="150"/>
      <c r="D72" s="244" t="str">
        <v>26-35个自然日</v>
      </c>
      <c r="E72" s="359"/>
      <c r="F72" s="92"/>
      <c r="G72" s="92"/>
    </row>
    <row customHeight="true" ht="46" r="73">
      <c r="A73" s="188" t="str">
        <v>PSC2</v>
      </c>
      <c r="B73" s="239">
        <v>810</v>
      </c>
      <c r="C73" s="364"/>
      <c r="D73" s="365" t="str">
        <v>29-38个自然日</v>
      </c>
      <c r="E73" s="366"/>
      <c r="F73" s="92"/>
      <c r="G73" s="92"/>
    </row>
    <row customHeight="true" ht="46" r="74">
      <c r="A74" s="106" t="str">
        <v>PDX6,PDX7</v>
      </c>
      <c r="B74" s="94">
        <v>840</v>
      </c>
      <c r="C74" s="150"/>
      <c r="D74" s="244" t="str">
        <v>29-38个自然日</v>
      </c>
      <c r="E74" s="359"/>
      <c r="F74" s="92"/>
      <c r="G74" s="92"/>
    </row>
    <row customHeight="true" ht="46" r="75">
      <c r="A75" s="188" t="str">
        <v>GEG2</v>
      </c>
      <c r="B75" s="239">
        <v>940</v>
      </c>
      <c r="C75" s="364"/>
      <c r="D75" s="365" t="str">
        <v>32-40个自然日</v>
      </c>
      <c r="E75" s="366"/>
      <c r="F75" s="92"/>
      <c r="G75" s="92"/>
    </row>
    <row customHeight="true" ht="46" r="76">
      <c r="A76" s="228" t="str">
        <v>芝加哥840</v>
      </c>
      <c r="B76" s="228"/>
      <c r="C76" s="228"/>
      <c r="D76" s="228"/>
      <c r="E76" s="228"/>
      <c r="F76" s="321"/>
    </row>
    <row customHeight="true" ht="46" r="77">
      <c r="A77" s="225" t="str">
        <v>热门卡派仓</v>
      </c>
      <c r="B77" s="225"/>
      <c r="C77" s="226"/>
      <c r="D77" s="226"/>
      <c r="E77" s="226"/>
      <c r="F77" s="321"/>
    </row>
    <row customHeight="true" ht="36" r="78">
      <c r="A78" s="367"/>
      <c r="B78" s="218" t="str">
        <v>珠三角/汕头/义乌交货价</v>
      </c>
      <c r="C78" s="219"/>
      <c r="D78" s="118"/>
      <c r="E78" s="120"/>
      <c r="F78" s="321"/>
    </row>
    <row customHeight="true" ht="24" r="79">
      <c r="A79" s="214" t="str" xml:space="preserve">
        <v>   仓库                                                    重量段</v>
      </c>
      <c r="B79" s="355" t="str">
        <v>按方不包税
2CBM+</v>
      </c>
      <c r="C79" s="356"/>
      <c r="D79" s="357" t="str">
        <v>参考时效（开船后）</v>
      </c>
      <c r="E79" s="358"/>
      <c r="F79" s="92"/>
    </row>
    <row customHeight="true" ht="30" r="80">
      <c r="A80" s="232"/>
      <c r="B80" s="363"/>
      <c r="C80" s="360"/>
      <c r="D80" s="361"/>
      <c r="E80" s="362"/>
      <c r="F80" s="92"/>
    </row>
    <row customHeight="true" ht="43" r="81">
      <c r="A81" s="106" t="str">
        <v>MDW2,ORD2,IGQ2,MDW9,RFD2,RFD4,JVL1,MDW6</v>
      </c>
      <c r="B81" s="94">
        <v>850</v>
      </c>
      <c r="C81" s="150"/>
      <c r="D81" s="244" t="str">
        <v>30-35个自然日</v>
      </c>
      <c r="E81" s="359"/>
      <c r="F81" s="92"/>
      <c r="G81" s="92"/>
    </row>
    <row customHeight="true" ht="55" r="82">
      <c r="A82" s="188" t="str">
        <v>IND9,FWA4,MQJ1,MQJ2,STL4,IND2,IND4,IND5,PPO4</v>
      </c>
      <c r="B82" s="239">
        <v>940</v>
      </c>
      <c r="C82" s="364"/>
      <c r="D82" s="365" t="str">
        <v>33-42个自然日</v>
      </c>
      <c r="E82" s="366"/>
      <c r="F82" s="92"/>
      <c r="G82" s="92"/>
    </row>
    <row customHeight="true" ht="55" r="83">
      <c r="A83" s="106" t="str">
        <v>DET1,DET2,LAN2,CMH2,CMH3,CMH7</v>
      </c>
      <c r="B83" s="94">
        <v>990</v>
      </c>
      <c r="C83" s="150"/>
      <c r="D83" s="244" t="str">
        <v>35-45个自然日</v>
      </c>
      <c r="E83" s="359"/>
      <c r="F83" s="92"/>
      <c r="G83" s="92"/>
    </row>
    <row customHeight="true" ht="53" r="84">
      <c r="A84" s="188" t="str">
        <v>MKC4,MCI3,STL3</v>
      </c>
      <c r="B84" s="239">
        <v>1050</v>
      </c>
      <c r="C84" s="364"/>
      <c r="D84" s="365" t="str">
        <v>38-45个自然日</v>
      </c>
      <c r="E84" s="366"/>
      <c r="F84" s="92"/>
      <c r="G84" s="92"/>
    </row>
    <row customHeight="true" ht="46" r="85">
      <c r="A85" s="228" t="str">
        <v>休斯顿866</v>
      </c>
      <c r="B85" s="228"/>
      <c r="C85" s="228"/>
      <c r="D85" s="228"/>
      <c r="E85" s="228"/>
      <c r="F85" s="321"/>
    </row>
    <row customHeight="true" ht="46" r="86">
      <c r="A86" s="225" t="str">
        <v>热门卡派仓</v>
      </c>
      <c r="B86" s="225"/>
      <c r="C86" s="226"/>
      <c r="D86" s="226"/>
      <c r="E86" s="226"/>
      <c r="F86" s="321"/>
    </row>
    <row customHeight="true" ht="36" r="87">
      <c r="A87" s="367"/>
      <c r="B87" s="218" t="str">
        <v>珠三角/汕头/义乌交货价</v>
      </c>
      <c r="C87" s="219"/>
      <c r="D87" s="118"/>
      <c r="E87" s="120"/>
      <c r="F87" s="321"/>
    </row>
    <row customHeight="true" ht="24" r="88">
      <c r="A88" s="214" t="str" xml:space="preserve">
        <v>   仓库                                                     重量段</v>
      </c>
      <c r="B88" s="355" t="str">
        <v>按方不包税
2CBM+</v>
      </c>
      <c r="C88" s="356"/>
      <c r="D88" s="357" t="str">
        <v>参考时效（开船后）</v>
      </c>
      <c r="E88" s="358"/>
      <c r="F88" s="92"/>
    </row>
    <row customHeight="true" ht="30" r="89">
      <c r="A89" s="232"/>
      <c r="B89" s="363"/>
      <c r="C89" s="360"/>
      <c r="D89" s="361"/>
      <c r="E89" s="362"/>
      <c r="F89" s="92"/>
    </row>
    <row customHeight="true" ht="43" r="90">
      <c r="A90" s="106" t="str">
        <v>HOU8,HOU7,HOU3,HOU2,HOU1,IAH3</v>
      </c>
      <c r="B90" s="94">
        <v>770</v>
      </c>
      <c r="C90" s="150"/>
      <c r="D90" s="244" t="str">
        <v>32-37个自然日</v>
      </c>
      <c r="E90" s="359"/>
      <c r="F90" s="92"/>
      <c r="G90" s="92"/>
    </row>
    <row customHeight="true" ht="55" r="91">
      <c r="A91" s="188" t="str">
        <v>FTW9,FTW1,FTW5,FTW3,SAT1,FTW2,IUSF,DFW7,DFW6,DAL3,SAT6,SAT4,IUTH</v>
      </c>
      <c r="B91" s="239">
        <v>850</v>
      </c>
      <c r="C91" s="364"/>
      <c r="D91" s="365" t="str">
        <v>35-42个自然日</v>
      </c>
      <c r="E91" s="366"/>
      <c r="F91" s="92"/>
      <c r="G91" s="92"/>
    </row>
    <row customHeight="true" ht="49" r="92">
      <c r="A92" s="106" t="str">
        <v>LFT1,AMA1,OKC2,LIT2,ICT2,FOE1</v>
      </c>
      <c r="B92" s="94">
        <v>950</v>
      </c>
      <c r="C92" s="150"/>
      <c r="D92" s="244" t="str">
        <v>38-45个自然日</v>
      </c>
      <c r="E92" s="359"/>
      <c r="F92" s="92"/>
      <c r="G92" s="92"/>
    </row>
    <row customHeight="true" ht="46" r="93">
      <c r="A93" s="228" t="str">
        <v>萨凡纳888</v>
      </c>
      <c r="B93" s="228"/>
      <c r="C93" s="228"/>
      <c r="D93" s="228"/>
      <c r="E93" s="228"/>
      <c r="F93" s="92"/>
      <c r="G93" s="92"/>
      <c r="H93" s="269"/>
      <c r="I93" s="269"/>
      <c r="J93" s="269"/>
      <c r="K93" s="269"/>
      <c r="L93" s="92"/>
      <c r="M93" s="92"/>
      <c r="N93" s="269"/>
      <c r="O93" s="269"/>
      <c r="P93" s="269"/>
      <c r="Q93" s="269"/>
      <c r="R93" s="92"/>
      <c r="S93" s="92"/>
    </row>
    <row customHeight="true" ht="46" r="94">
      <c r="A94" s="374" t="str">
        <v>卡派不包税</v>
      </c>
      <c r="B94" s="374"/>
      <c r="C94" s="374"/>
      <c r="D94" s="374"/>
      <c r="E94" s="375"/>
      <c r="F94" s="269"/>
      <c r="G94" s="269"/>
      <c r="H94" s="269"/>
      <c r="I94" s="269"/>
      <c r="J94" s="269"/>
      <c r="K94" s="269"/>
      <c r="L94" s="92"/>
      <c r="M94" s="269"/>
      <c r="N94" s="269"/>
      <c r="O94" s="269"/>
      <c r="P94" s="269"/>
      <c r="Q94" s="269"/>
      <c r="R94" s="92"/>
      <c r="S94" s="269"/>
    </row>
    <row customHeight="true" ht="36" r="95">
      <c r="A95" s="371"/>
      <c r="B95" s="218" t="str">
        <v>珠三角/汕头/义乌交货价</v>
      </c>
      <c r="C95" s="219"/>
      <c r="D95" s="370"/>
      <c r="E95" s="372"/>
      <c r="F95" s="92"/>
      <c r="G95" s="92"/>
      <c r="H95" s="269"/>
      <c r="I95" s="269"/>
      <c r="J95" s="269"/>
      <c r="K95" s="269"/>
      <c r="L95" s="92"/>
      <c r="M95" s="92"/>
      <c r="N95" s="269"/>
      <c r="O95" s="269"/>
      <c r="P95" s="269"/>
      <c r="Q95" s="269"/>
      <c r="R95" s="92"/>
      <c r="S95" s="92"/>
    </row>
    <row customHeight="true" ht="24" r="96">
      <c r="A96" s="214" t="str" xml:space="preserve">
        <v>   仓库                                                      重量段</v>
      </c>
      <c r="B96" s="355" t="str">
        <v>按方不包税
2CBM+</v>
      </c>
      <c r="C96" s="356"/>
      <c r="D96" s="357" t="str">
        <v>参考时效（开船后）</v>
      </c>
      <c r="E96" s="358"/>
    </row>
    <row customHeight="true" ht="30" r="97">
      <c r="A97" s="232"/>
      <c r="B97" s="363"/>
      <c r="C97" s="360"/>
      <c r="D97" s="361"/>
      <c r="E97" s="362"/>
      <c r="F97" s="92"/>
    </row>
    <row customHeight="true" ht="40" r="98">
      <c r="A98" s="245" t="str">
        <v>SAV3,JAX3,XLX6,GSP1,GSO1,IUSR,CAE1,MGE1,MGE3,RYY2,CLT2,CLT3,RDU2,RDU4</v>
      </c>
      <c r="B98" s="94">
        <v>690</v>
      </c>
      <c r="C98" s="93"/>
      <c r="D98" s="244" t="str">
        <v>37-47个自然日</v>
      </c>
      <c r="E98" s="359"/>
      <c r="F98" s="92"/>
    </row>
    <row customHeight="true" ht="33" r="99">
      <c r="A99" s="101" t="str">
        <v>MCO1,MCO2,TPA2,TPA3,TPA6,TMB8,PBI2,PBI3,XPB2</v>
      </c>
      <c r="B99" s="378">
        <v>740</v>
      </c>
      <c r="C99" s="101"/>
      <c r="D99" s="234" t="str">
        <v>40-50个自然日</v>
      </c>
      <c r="E99" s="379"/>
      <c r="F99" s="380"/>
    </row>
    <row customHeight="true" ht="38" r="100">
      <c r="A100" s="245" t="str">
        <v>BNA2,BNA6,CHA2,HSV1,HSV2,MEM1</v>
      </c>
      <c r="B100" s="94">
        <v>800</v>
      </c>
      <c r="C100" s="93"/>
      <c r="D100" s="244" t="str">
        <v>42-52个自然日</v>
      </c>
      <c r="E100" s="359"/>
      <c r="F100" s="92"/>
    </row>
    <row customHeight="true" ht="43" r="101">
      <c r="A101" s="175" t="str">
        <v>纽约960</v>
      </c>
      <c r="B101" s="176"/>
      <c r="C101" s="176"/>
      <c r="D101" s="176"/>
      <c r="E101" s="177"/>
      <c r="F101" s="321"/>
      <c r="G101" s="92"/>
      <c r="H101" s="92"/>
      <c r="I101" s="92"/>
      <c r="J101" s="92"/>
      <c r="K101" s="92"/>
      <c r="L101" s="92"/>
      <c r="M101" s="92"/>
      <c r="N101" s="92"/>
      <c r="O101" s="92"/>
      <c r="P101" s="92"/>
      <c r="Q101" s="92"/>
      <c r="R101" s="92"/>
      <c r="S101" s="92"/>
    </row>
    <row customHeight="true" ht="47" r="102">
      <c r="A102" s="210" t="str">
        <v>卡派不包税</v>
      </c>
      <c r="B102" s="207"/>
      <c r="C102" s="207"/>
      <c r="D102" s="207"/>
      <c r="E102" s="207"/>
      <c r="F102" s="321"/>
    </row>
    <row customHeight="true" ht="47" r="103">
      <c r="A103" s="371"/>
      <c r="B103" s="218" t="str">
        <v>珠三角/汕头/义乌交货价</v>
      </c>
      <c r="C103" s="219"/>
      <c r="D103" s="370"/>
      <c r="E103" s="372"/>
      <c r="F103" s="321"/>
    </row>
    <row customHeight="true" ht="67" r="104">
      <c r="A104" s="376" t="str" xml:space="preserve">
        <v>   仓库                                                                     重量段</v>
      </c>
      <c r="B104" s="363" t="str">
        <v>按方不包税
2CBM+</v>
      </c>
      <c r="C104" s="377"/>
      <c r="D104" s="103" t="str">
        <v>参考签收时效
（开船后）</v>
      </c>
      <c r="E104" s="104"/>
      <c r="F104" s="321"/>
    </row>
    <row customHeight="true" ht="46" r="105">
      <c r="A105" s="106" t="str">
        <v>ABE8,ACY2,TEB6,TEB9,TTN2,TEB3,TEB4,XEW5</v>
      </c>
      <c r="B105" s="94">
        <v>630</v>
      </c>
      <c r="C105" s="93"/>
      <c r="D105" s="94" t="str">
        <v>40-47个自然日</v>
      </c>
      <c r="E105" s="93"/>
      <c r="F105" s="321"/>
    </row>
    <row customHeight="true" ht="38" r="106">
      <c r="A106" s="126" t="str">
        <v>ABE3,ABE4,AVP1,AVP3,AVP9,WBW2,HEA2</v>
      </c>
      <c r="B106" s="378">
        <v>670</v>
      </c>
      <c r="C106" s="101"/>
      <c r="D106" s="125" t="str">
        <v>42-50个自然日</v>
      </c>
      <c r="E106" s="101"/>
      <c r="F106" s="321"/>
    </row>
    <row customHeight="true" ht="38" r="107">
      <c r="A107" s="106" t="str">
        <v>HIA1,PHL4,PHL5,PHL6,MDT1,MDT4,PIT2,LBE1,ALB1,SWF1,SWF2</v>
      </c>
      <c r="B107" s="94">
        <v>720</v>
      </c>
      <c r="C107" s="93"/>
      <c r="D107" s="94" t="str">
        <v>42-50个自然日</v>
      </c>
      <c r="E107" s="93"/>
      <c r="F107" s="321"/>
    </row>
    <row customHeight="true" ht="36" r="108">
      <c r="A108" s="126" t="str">
        <v>IUSL,MDT2,ILG1,DCA6,BWI1,HGR2,XLX1,HGR6</v>
      </c>
      <c r="B108" s="378">
        <v>750</v>
      </c>
      <c r="C108" s="101"/>
      <c r="D108" s="125" t="str">
        <v>45-55个自然日</v>
      </c>
      <c r="E108" s="101"/>
      <c r="F108" s="321"/>
    </row>
    <row customHeight="true" ht="40" r="109">
      <c r="A109" s="106" t="str">
        <v>BDL6,BOS7,BWI4,CHO1,RIC1,RIC3,XRI3,ORF2,RMN3</v>
      </c>
      <c r="B109" s="94">
        <v>780</v>
      </c>
      <c r="C109" s="93"/>
      <c r="D109" s="94" t="str">
        <v>45-55个自然日</v>
      </c>
      <c r="E109" s="93"/>
      <c r="F109" s="321"/>
    </row>
    <row customHeight="true" ht="65" r="110">
      <c r="A110" s="385" t="str">
        <v>CLT6,AKR1,SDF4,SDF8,DTW3,MEM6,IND2,IND4,IND5,IND9,MQJ1,MQJ2,FWA4,DET1,DET2,DTW3,LAN2,CMH2,CMH6,CMH7,CMH3</v>
      </c>
      <c r="B110" s="112">
        <v>830</v>
      </c>
      <c r="C110" s="110"/>
      <c r="D110" s="386" t="str">
        <v>45-55个自然日</v>
      </c>
      <c r="E110" s="110"/>
      <c r="F110" s="321"/>
    </row>
    <row customHeight="true" ht="67" r="111">
      <c r="A111" s="381" t="s">
        <v>45</v>
      </c>
      <c r="B111" s="381"/>
      <c r="C111" s="381"/>
      <c r="D111" s="381"/>
      <c r="E111" s="381"/>
      <c r="G111" s="382" t="str">
        <v>假设：重量500KG  立方1.5m³
实际重量除以计泡系数500/363=1.378m³
实际立方数：1.5m³，小于立方收费重：1.378m³，收费按实际重量500KG收。</v>
      </c>
    </row>
    <row customHeight="true" ht="68" r="112">
      <c r="A112" s="384" t="str">
        <v>体积计费规则（按方计费）
1. 2CBM起计，不足2方按1方计，精确至小数点后两位（≥0.01）
2.实重大于363KG/CBM时，计费方数=计费重量÷363</v>
      </c>
      <c r="B112" s="383"/>
      <c r="C112" s="383"/>
      <c r="D112" s="383"/>
      <c r="E112" s="383"/>
      <c r="H112" s="382"/>
    </row>
    <row customHeight="true" ht="52" r="113">
      <c r="A113" s="369" t="str">
        <v>不包税渠道采用发货做税金预收方案，按申报价值50%预收，实际以最终清关税金单进行多退少补。</v>
      </c>
      <c r="B113" s="368"/>
      <c r="C113" s="368"/>
      <c r="D113" s="368"/>
      <c r="E113" s="368"/>
    </row>
  </sheetData>
  <mergeCells>
    <mergeCell ref="D96:E97"/>
    <mergeCell ref="B96:C97"/>
    <mergeCell ref="D79:E80"/>
    <mergeCell ref="B79:C80"/>
    <mergeCell ref="D88:E89"/>
    <mergeCell ref="B88:C89"/>
    <mergeCell ref="D70:E71"/>
    <mergeCell ref="B70:C71"/>
    <mergeCell ref="D62:E63"/>
    <mergeCell ref="B62:C63"/>
    <mergeCell ref="D53:E54"/>
    <mergeCell ref="B53:C54"/>
    <mergeCell ref="D38:E39"/>
    <mergeCell ref="B38:C39"/>
    <mergeCell ref="A96:A97"/>
    <mergeCell ref="A88:A89"/>
    <mergeCell ref="A79:A80"/>
    <mergeCell ref="A70:A71"/>
    <mergeCell ref="A62:A63"/>
    <mergeCell ref="A53:A54"/>
    <mergeCell ref="A38:A39"/>
    <mergeCell ref="A113:E113"/>
    <mergeCell ref="A112:E112"/>
    <mergeCell ref="A111:E111"/>
    <mergeCell ref="D110:E110"/>
    <mergeCell ref="B110:C110"/>
    <mergeCell ref="D109:E109"/>
    <mergeCell ref="B109:C109"/>
    <mergeCell ref="D108:E108"/>
    <mergeCell ref="B108:C108"/>
    <mergeCell ref="D107:E107"/>
    <mergeCell ref="B107:C107"/>
    <mergeCell ref="D106:E106"/>
    <mergeCell ref="B106:C106"/>
    <mergeCell ref="D105:E105"/>
    <mergeCell ref="B105:C105"/>
    <mergeCell ref="D104:E104"/>
    <mergeCell ref="B104:C104"/>
    <mergeCell ref="D103:E103"/>
    <mergeCell ref="B103:C103"/>
    <mergeCell ref="A102:E102"/>
    <mergeCell ref="A101:E101"/>
    <mergeCell ref="D100:E100"/>
    <mergeCell ref="B100:C100"/>
    <mergeCell ref="D99:E99"/>
    <mergeCell ref="B99:C99"/>
    <mergeCell ref="D98:E98"/>
    <mergeCell ref="B98:C98"/>
    <mergeCell ref="D95:E95"/>
    <mergeCell ref="B95:C95"/>
    <mergeCell ref="A94:E94"/>
    <mergeCell ref="A93:E93"/>
    <mergeCell ref="D92:E92"/>
    <mergeCell ref="B92:C92"/>
    <mergeCell ref="D91:E91"/>
    <mergeCell ref="B91:C91"/>
    <mergeCell ref="D90:E90"/>
    <mergeCell ref="B90:C90"/>
    <mergeCell ref="D87:E87"/>
    <mergeCell ref="B87:C87"/>
    <mergeCell ref="A86:E86"/>
    <mergeCell ref="A85:E85"/>
    <mergeCell ref="D84:E84"/>
    <mergeCell ref="B84:C84"/>
    <mergeCell ref="D83:E83"/>
    <mergeCell ref="B83:C83"/>
    <mergeCell ref="D82:E82"/>
    <mergeCell ref="B82:C82"/>
    <mergeCell ref="D81:E81"/>
    <mergeCell ref="B81:C81"/>
    <mergeCell ref="D78:E78"/>
    <mergeCell ref="B78:C78"/>
    <mergeCell ref="A77:E77"/>
    <mergeCell ref="A76:E76"/>
    <mergeCell ref="D75:E75"/>
    <mergeCell ref="B75:C75"/>
    <mergeCell ref="D74:E74"/>
    <mergeCell ref="B74:C74"/>
    <mergeCell ref="D73:E73"/>
    <mergeCell ref="B73:C73"/>
    <mergeCell ref="D72:E72"/>
    <mergeCell ref="B72:C72"/>
    <mergeCell ref="D69:E69"/>
    <mergeCell ref="B69:C69"/>
    <mergeCell ref="A68:E68"/>
    <mergeCell ref="A67:E67"/>
    <mergeCell ref="D66:E66"/>
    <mergeCell ref="B66:C66"/>
    <mergeCell ref="D65:E65"/>
    <mergeCell ref="B65:C65"/>
    <mergeCell ref="D64:E64"/>
    <mergeCell ref="B64:C64"/>
    <mergeCell ref="D61:E61"/>
    <mergeCell ref="B61:C61"/>
    <mergeCell ref="A60:E60"/>
    <mergeCell ref="A59:E59"/>
    <mergeCell ref="D58:E58"/>
    <mergeCell ref="B58:C58"/>
    <mergeCell ref="D57:E57"/>
    <mergeCell ref="B57:C57"/>
    <mergeCell ref="D56:E56"/>
    <mergeCell ref="B56:C56"/>
    <mergeCell ref="D55:E55"/>
    <mergeCell ref="B55:C55"/>
    <mergeCell ref="D52:E52"/>
    <mergeCell ref="B52:C52"/>
    <mergeCell ref="A51:E51"/>
    <mergeCell ref="A50:E50"/>
    <mergeCell ref="D49:E49"/>
    <mergeCell ref="B49:C49"/>
    <mergeCell ref="D48:E48"/>
    <mergeCell ref="B48:C48"/>
    <mergeCell ref="D47:E47"/>
    <mergeCell ref="B47:C47"/>
    <mergeCell ref="D46:E46"/>
    <mergeCell ref="B46:C46"/>
    <mergeCell ref="D45:E45"/>
    <mergeCell ref="B45:C45"/>
    <mergeCell ref="D44:E44"/>
    <mergeCell ref="B44:C44"/>
    <mergeCell ref="D43:E43"/>
    <mergeCell ref="B43:C43"/>
    <mergeCell ref="D42:E42"/>
    <mergeCell ref="B42:C42"/>
    <mergeCell ref="D41:E41"/>
    <mergeCell ref="B41:C41"/>
    <mergeCell ref="D40:E40"/>
    <mergeCell ref="B40:C40"/>
    <mergeCell ref="D37:E37"/>
    <mergeCell ref="B37:C37"/>
    <mergeCell ref="A36:E36"/>
    <mergeCell ref="A35:E35"/>
    <mergeCell ref="D34:E34"/>
    <mergeCell ref="B34:C34"/>
    <mergeCell ref="D33:E33"/>
    <mergeCell ref="B33:C33"/>
    <mergeCell ref="D32:E32"/>
    <mergeCell ref="B32:C32"/>
    <mergeCell ref="D31:E31"/>
    <mergeCell ref="B31:C31"/>
    <mergeCell ref="D30:E30"/>
    <mergeCell ref="B30:C30"/>
    <mergeCell ref="D29:E29"/>
    <mergeCell ref="B29:C29"/>
    <mergeCell ref="D28:E28"/>
    <mergeCell ref="B28:C28"/>
    <mergeCell ref="D27:E27"/>
    <mergeCell ref="B27:C27"/>
    <mergeCell ref="D26:E26"/>
    <mergeCell ref="B26:C26"/>
    <mergeCell ref="A25:E25"/>
    <mergeCell ref="A24:E24"/>
    <mergeCell ref="D23:E23"/>
    <mergeCell ref="D22:E22"/>
    <mergeCell ref="D21:E21"/>
    <mergeCell ref="D20:E20"/>
    <mergeCell ref="D19:E19"/>
    <mergeCell ref="D18:E18"/>
    <mergeCell ref="D17:E17"/>
    <mergeCell ref="D16:E16"/>
    <mergeCell ref="D15:E15"/>
    <mergeCell ref="A14:E14"/>
    <mergeCell ref="A13:E13"/>
    <mergeCell ref="D12:E12"/>
    <mergeCell ref="D11:E11"/>
    <mergeCell ref="D10:E10"/>
    <mergeCell ref="D9:E9"/>
    <mergeCell ref="D8:E8"/>
    <mergeCell ref="D7:E7"/>
    <mergeCell ref="D6:E6"/>
    <mergeCell ref="D5:E5"/>
    <mergeCell ref="D4:E4"/>
    <mergeCell ref="A3:E3"/>
    <mergeCell ref="A2:E2"/>
  </mergeCells>
  <drawing r:id="rId1"/>
  <picture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